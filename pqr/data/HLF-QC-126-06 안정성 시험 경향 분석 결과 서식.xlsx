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0.1.21\qa1-3t\101. QA1T\초안 작성 폴더\아이퓨어점안액(1회용) TEST\"/>
    </mc:Choice>
  </mc:AlternateContent>
  <xr:revisionPtr revIDLastSave="0" documentId="13_ncr:1_{EB8211D2-666A-4CE8-9F0F-486595468C7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H" sheetId="11" r:id="rId1"/>
    <sheet name="삼투압" sheetId="23" r:id="rId2"/>
    <sheet name="함량" sheetId="22" r:id="rId3"/>
    <sheet name="A" sheetId="24" r:id="rId4"/>
    <sheet name="B" sheetId="25" r:id="rId5"/>
    <sheet name="기타" sheetId="26" r:id="rId6"/>
    <sheet name="총" sheetId="27" r:id="rId7"/>
  </sheets>
  <definedNames>
    <definedName name="_xlnm.Print_Area" localSheetId="3">A!$A$1:$M$67</definedName>
    <definedName name="_xlnm.Print_Area" localSheetId="4">B!$A$1:$M$67</definedName>
    <definedName name="_xlnm.Print_Area" localSheetId="0">pH!$A$1:$M$67</definedName>
    <definedName name="_xlnm.Print_Area" localSheetId="5">기타!$A$1:$M$67</definedName>
    <definedName name="_xlnm.Print_Area" localSheetId="1">삼투압!$A$1:$M$67</definedName>
    <definedName name="_xlnm.Print_Area" localSheetId="6">총!$A$1:$M$67</definedName>
    <definedName name="_xlnm.Print_Area" localSheetId="2">함량!$A$1:$M$67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9" i="25" l="1"/>
  <c r="P38" i="25"/>
  <c r="P39" i="24"/>
  <c r="P38" i="24"/>
  <c r="P39" i="22"/>
  <c r="P38" i="22"/>
  <c r="P39" i="23"/>
  <c r="P38" i="23"/>
  <c r="P39" i="11"/>
  <c r="P38" i="11"/>
  <c r="L104" i="27"/>
  <c r="K104" i="27"/>
  <c r="J104" i="27"/>
  <c r="I104" i="27"/>
  <c r="H104" i="27"/>
  <c r="G104" i="27"/>
  <c r="F104" i="27"/>
  <c r="E104" i="27"/>
  <c r="D104" i="27"/>
  <c r="C104" i="27"/>
  <c r="L103" i="27"/>
  <c r="K103" i="27"/>
  <c r="J103" i="27"/>
  <c r="I103" i="27"/>
  <c r="H103" i="27"/>
  <c r="G103" i="27"/>
  <c r="F103" i="27"/>
  <c r="E103" i="27"/>
  <c r="D103" i="27"/>
  <c r="C103" i="27"/>
  <c r="L101" i="27"/>
  <c r="K101" i="27"/>
  <c r="J101" i="27"/>
  <c r="I101" i="27"/>
  <c r="H101" i="27"/>
  <c r="G101" i="27"/>
  <c r="F101" i="27"/>
  <c r="E101" i="27"/>
  <c r="D101" i="27"/>
  <c r="C101" i="27"/>
  <c r="B101" i="27"/>
  <c r="L100" i="27"/>
  <c r="K100" i="27"/>
  <c r="J100" i="27"/>
  <c r="I100" i="27"/>
  <c r="H100" i="27"/>
  <c r="G100" i="27"/>
  <c r="F100" i="27"/>
  <c r="E100" i="27"/>
  <c r="D100" i="27"/>
  <c r="C100" i="27"/>
  <c r="B100" i="27"/>
  <c r="L99" i="27"/>
  <c r="K99" i="27"/>
  <c r="J99" i="27"/>
  <c r="I99" i="27"/>
  <c r="H99" i="27"/>
  <c r="G99" i="27"/>
  <c r="F99" i="27"/>
  <c r="E99" i="27"/>
  <c r="D99" i="27"/>
  <c r="C99" i="27"/>
  <c r="B99" i="27"/>
  <c r="L98" i="27"/>
  <c r="K98" i="27"/>
  <c r="J98" i="27"/>
  <c r="I98" i="27"/>
  <c r="H98" i="27"/>
  <c r="G98" i="27"/>
  <c r="F98" i="27"/>
  <c r="E98" i="27"/>
  <c r="D98" i="27"/>
  <c r="C98" i="27"/>
  <c r="B98" i="27"/>
  <c r="L97" i="27"/>
  <c r="K97" i="27"/>
  <c r="J97" i="27"/>
  <c r="I97" i="27"/>
  <c r="H97" i="27"/>
  <c r="G97" i="27"/>
  <c r="F97" i="27"/>
  <c r="E97" i="27"/>
  <c r="D97" i="27"/>
  <c r="C97" i="27"/>
  <c r="B97" i="27"/>
  <c r="L96" i="27"/>
  <c r="K96" i="27"/>
  <c r="J96" i="27"/>
  <c r="I96" i="27"/>
  <c r="H96" i="27"/>
  <c r="G96" i="27"/>
  <c r="F96" i="27"/>
  <c r="E96" i="27"/>
  <c r="D96" i="27"/>
  <c r="C96" i="27"/>
  <c r="B96" i="27"/>
  <c r="L95" i="27"/>
  <c r="K95" i="27"/>
  <c r="J95" i="27"/>
  <c r="I95" i="27"/>
  <c r="H95" i="27"/>
  <c r="G95" i="27"/>
  <c r="F95" i="27"/>
  <c r="E95" i="27"/>
  <c r="D95" i="27"/>
  <c r="C95" i="27"/>
  <c r="B95" i="27"/>
  <c r="L94" i="27"/>
  <c r="K94" i="27"/>
  <c r="J94" i="27"/>
  <c r="I94" i="27"/>
  <c r="H94" i="27"/>
  <c r="G94" i="27"/>
  <c r="F94" i="27"/>
  <c r="E94" i="27"/>
  <c r="D94" i="27"/>
  <c r="C94" i="27"/>
  <c r="B94" i="27"/>
  <c r="L93" i="27"/>
  <c r="K93" i="27"/>
  <c r="J93" i="27"/>
  <c r="I93" i="27"/>
  <c r="H93" i="27"/>
  <c r="G93" i="27"/>
  <c r="F93" i="27"/>
  <c r="E93" i="27"/>
  <c r="D93" i="27"/>
  <c r="C93" i="27"/>
  <c r="B93" i="27"/>
  <c r="L92" i="27"/>
  <c r="K92" i="27"/>
  <c r="J92" i="27"/>
  <c r="I92" i="27"/>
  <c r="H92" i="27"/>
  <c r="G92" i="27"/>
  <c r="F92" i="27"/>
  <c r="E92" i="27"/>
  <c r="D92" i="27"/>
  <c r="C92" i="27"/>
  <c r="B92" i="27"/>
  <c r="L91" i="27"/>
  <c r="K91" i="27"/>
  <c r="J91" i="27"/>
  <c r="I91" i="27"/>
  <c r="H91" i="27"/>
  <c r="G91" i="27"/>
  <c r="F91" i="27"/>
  <c r="E91" i="27"/>
  <c r="D91" i="27"/>
  <c r="C91" i="27"/>
  <c r="B91" i="27"/>
  <c r="L90" i="27"/>
  <c r="K90" i="27"/>
  <c r="J90" i="27"/>
  <c r="I90" i="27"/>
  <c r="H90" i="27"/>
  <c r="G90" i="27"/>
  <c r="F90" i="27"/>
  <c r="E90" i="27"/>
  <c r="D90" i="27"/>
  <c r="C90" i="27"/>
  <c r="B90" i="27"/>
  <c r="L89" i="27"/>
  <c r="K89" i="27"/>
  <c r="J89" i="27"/>
  <c r="I89" i="27"/>
  <c r="H89" i="27"/>
  <c r="G89" i="27"/>
  <c r="F89" i="27"/>
  <c r="E89" i="27"/>
  <c r="D89" i="27"/>
  <c r="C89" i="27"/>
  <c r="B89" i="27"/>
  <c r="L88" i="27"/>
  <c r="K88" i="27"/>
  <c r="J88" i="27"/>
  <c r="I88" i="27"/>
  <c r="H88" i="27"/>
  <c r="G88" i="27"/>
  <c r="F88" i="27"/>
  <c r="E88" i="27"/>
  <c r="D88" i="27"/>
  <c r="C88" i="27"/>
  <c r="B88" i="27"/>
  <c r="L87" i="27"/>
  <c r="K87" i="27"/>
  <c r="J87" i="27"/>
  <c r="I87" i="27"/>
  <c r="H87" i="27"/>
  <c r="G87" i="27"/>
  <c r="F87" i="27"/>
  <c r="E87" i="27"/>
  <c r="D87" i="27"/>
  <c r="C87" i="27"/>
  <c r="B87" i="27"/>
  <c r="L86" i="27"/>
  <c r="K86" i="27"/>
  <c r="J86" i="27"/>
  <c r="I86" i="27"/>
  <c r="H86" i="27"/>
  <c r="G86" i="27"/>
  <c r="F86" i="27"/>
  <c r="E86" i="27"/>
  <c r="D86" i="27"/>
  <c r="C86" i="27"/>
  <c r="B86" i="27"/>
  <c r="L85" i="27"/>
  <c r="K85" i="27"/>
  <c r="J85" i="27"/>
  <c r="I85" i="27"/>
  <c r="H85" i="27"/>
  <c r="G85" i="27"/>
  <c r="F85" i="27"/>
  <c r="E85" i="27"/>
  <c r="D85" i="27"/>
  <c r="C85" i="27"/>
  <c r="B85" i="27"/>
  <c r="L84" i="27"/>
  <c r="K84" i="27"/>
  <c r="J84" i="27"/>
  <c r="I84" i="27"/>
  <c r="H84" i="27"/>
  <c r="G84" i="27"/>
  <c r="F84" i="27"/>
  <c r="E84" i="27"/>
  <c r="D84" i="27"/>
  <c r="C84" i="27"/>
  <c r="B84" i="27"/>
  <c r="L83" i="27"/>
  <c r="K83" i="27"/>
  <c r="J83" i="27"/>
  <c r="I83" i="27"/>
  <c r="H83" i="27"/>
  <c r="G83" i="27"/>
  <c r="F83" i="27"/>
  <c r="E83" i="27"/>
  <c r="D83" i="27"/>
  <c r="C83" i="27"/>
  <c r="B83" i="27"/>
  <c r="L82" i="27"/>
  <c r="K82" i="27"/>
  <c r="J82" i="27"/>
  <c r="I82" i="27"/>
  <c r="H82" i="27"/>
  <c r="G82" i="27"/>
  <c r="F82" i="27"/>
  <c r="E82" i="27"/>
  <c r="D82" i="27"/>
  <c r="C82" i="27"/>
  <c r="B82" i="27"/>
  <c r="L81" i="27"/>
  <c r="K81" i="27"/>
  <c r="J81" i="27"/>
  <c r="I81" i="27"/>
  <c r="H81" i="27"/>
  <c r="G81" i="27"/>
  <c r="F81" i="27"/>
  <c r="E81" i="27"/>
  <c r="D81" i="27"/>
  <c r="C81" i="27"/>
  <c r="B81" i="27"/>
  <c r="L80" i="27"/>
  <c r="K80" i="27"/>
  <c r="J80" i="27"/>
  <c r="I80" i="27"/>
  <c r="H80" i="27"/>
  <c r="G80" i="27"/>
  <c r="F80" i="27"/>
  <c r="E80" i="27"/>
  <c r="D80" i="27"/>
  <c r="C80" i="27"/>
  <c r="B80" i="27"/>
  <c r="L79" i="27"/>
  <c r="K79" i="27"/>
  <c r="J79" i="27"/>
  <c r="I79" i="27"/>
  <c r="H79" i="27"/>
  <c r="G79" i="27"/>
  <c r="F79" i="27"/>
  <c r="E79" i="27"/>
  <c r="D79" i="27"/>
  <c r="C79" i="27"/>
  <c r="B79" i="27"/>
  <c r="L78" i="27"/>
  <c r="K78" i="27"/>
  <c r="J78" i="27"/>
  <c r="I78" i="27"/>
  <c r="H78" i="27"/>
  <c r="G78" i="27"/>
  <c r="F78" i="27"/>
  <c r="E78" i="27"/>
  <c r="D78" i="27"/>
  <c r="C78" i="27"/>
  <c r="B78" i="27"/>
  <c r="L77" i="27"/>
  <c r="K77" i="27"/>
  <c r="J77" i="27"/>
  <c r="I77" i="27"/>
  <c r="H77" i="27"/>
  <c r="G77" i="27"/>
  <c r="F77" i="27"/>
  <c r="E77" i="27"/>
  <c r="D77" i="27"/>
  <c r="C77" i="27"/>
  <c r="B77" i="27"/>
  <c r="L76" i="27"/>
  <c r="K76" i="27"/>
  <c r="J76" i="27"/>
  <c r="I76" i="27"/>
  <c r="H76" i="27"/>
  <c r="G76" i="27"/>
  <c r="F76" i="27"/>
  <c r="E76" i="27"/>
  <c r="D76" i="27"/>
  <c r="C76" i="27"/>
  <c r="B76" i="27"/>
  <c r="L75" i="27"/>
  <c r="K75" i="27"/>
  <c r="J75" i="27"/>
  <c r="I75" i="27"/>
  <c r="H75" i="27"/>
  <c r="G75" i="27"/>
  <c r="F75" i="27"/>
  <c r="E75" i="27"/>
  <c r="D75" i="27"/>
  <c r="C75" i="27"/>
  <c r="B75" i="27"/>
  <c r="L74" i="27"/>
  <c r="K74" i="27"/>
  <c r="J74" i="27"/>
  <c r="I74" i="27"/>
  <c r="H74" i="27"/>
  <c r="G74" i="27"/>
  <c r="F74" i="27"/>
  <c r="E74" i="27"/>
  <c r="D74" i="27"/>
  <c r="C74" i="27"/>
  <c r="B74" i="27"/>
  <c r="L73" i="27"/>
  <c r="K73" i="27"/>
  <c r="J73" i="27"/>
  <c r="I73" i="27"/>
  <c r="H73" i="27"/>
  <c r="G73" i="27"/>
  <c r="F73" i="27"/>
  <c r="E73" i="27"/>
  <c r="D73" i="27"/>
  <c r="C73" i="27"/>
  <c r="B73" i="27"/>
  <c r="L72" i="27"/>
  <c r="K72" i="27"/>
  <c r="J72" i="27"/>
  <c r="I72" i="27"/>
  <c r="H72" i="27"/>
  <c r="G72" i="27"/>
  <c r="F72" i="27"/>
  <c r="E72" i="27"/>
  <c r="D72" i="27"/>
  <c r="C72" i="27"/>
  <c r="B72" i="27"/>
  <c r="L104" i="26"/>
  <c r="K104" i="26"/>
  <c r="J104" i="26"/>
  <c r="I104" i="26"/>
  <c r="H104" i="26"/>
  <c r="G104" i="26"/>
  <c r="F104" i="26"/>
  <c r="E104" i="26"/>
  <c r="D104" i="26"/>
  <c r="C104" i="26"/>
  <c r="L103" i="26"/>
  <c r="K103" i="26"/>
  <c r="J103" i="26"/>
  <c r="I103" i="26"/>
  <c r="H103" i="26"/>
  <c r="G103" i="26"/>
  <c r="F103" i="26"/>
  <c r="E103" i="26"/>
  <c r="D103" i="26"/>
  <c r="C103" i="26"/>
  <c r="L101" i="26"/>
  <c r="K101" i="26"/>
  <c r="J101" i="26"/>
  <c r="I101" i="26"/>
  <c r="H101" i="26"/>
  <c r="G101" i="26"/>
  <c r="F101" i="26"/>
  <c r="E101" i="26"/>
  <c r="D101" i="26"/>
  <c r="C101" i="26"/>
  <c r="B101" i="26"/>
  <c r="L100" i="26"/>
  <c r="K100" i="26"/>
  <c r="J100" i="26"/>
  <c r="I100" i="26"/>
  <c r="H100" i="26"/>
  <c r="G100" i="26"/>
  <c r="F100" i="26"/>
  <c r="E100" i="26"/>
  <c r="D100" i="26"/>
  <c r="C100" i="26"/>
  <c r="B100" i="26"/>
  <c r="L99" i="26"/>
  <c r="K99" i="26"/>
  <c r="J99" i="26"/>
  <c r="I99" i="26"/>
  <c r="H99" i="26"/>
  <c r="G99" i="26"/>
  <c r="F99" i="26"/>
  <c r="E99" i="26"/>
  <c r="D99" i="26"/>
  <c r="C99" i="26"/>
  <c r="B99" i="26"/>
  <c r="L98" i="26"/>
  <c r="K98" i="26"/>
  <c r="J98" i="26"/>
  <c r="I98" i="26"/>
  <c r="H98" i="26"/>
  <c r="G98" i="26"/>
  <c r="F98" i="26"/>
  <c r="E98" i="26"/>
  <c r="D98" i="26"/>
  <c r="C98" i="26"/>
  <c r="B98" i="26"/>
  <c r="L97" i="26"/>
  <c r="K97" i="26"/>
  <c r="J97" i="26"/>
  <c r="I97" i="26"/>
  <c r="H97" i="26"/>
  <c r="G97" i="26"/>
  <c r="F97" i="26"/>
  <c r="E97" i="26"/>
  <c r="D97" i="26"/>
  <c r="C97" i="26"/>
  <c r="B97" i="26"/>
  <c r="L96" i="26"/>
  <c r="K96" i="26"/>
  <c r="J96" i="26"/>
  <c r="I96" i="26"/>
  <c r="H96" i="26"/>
  <c r="G96" i="26"/>
  <c r="F96" i="26"/>
  <c r="E96" i="26"/>
  <c r="D96" i="26"/>
  <c r="C96" i="26"/>
  <c r="B96" i="26"/>
  <c r="L95" i="26"/>
  <c r="K95" i="26"/>
  <c r="J95" i="26"/>
  <c r="I95" i="26"/>
  <c r="H95" i="26"/>
  <c r="G95" i="26"/>
  <c r="F95" i="26"/>
  <c r="E95" i="26"/>
  <c r="D95" i="26"/>
  <c r="C95" i="26"/>
  <c r="B95" i="26"/>
  <c r="L94" i="26"/>
  <c r="K94" i="26"/>
  <c r="J94" i="26"/>
  <c r="I94" i="26"/>
  <c r="H94" i="26"/>
  <c r="G94" i="26"/>
  <c r="F94" i="26"/>
  <c r="E94" i="26"/>
  <c r="D94" i="26"/>
  <c r="C94" i="26"/>
  <c r="B94" i="26"/>
  <c r="L93" i="26"/>
  <c r="K93" i="26"/>
  <c r="J93" i="26"/>
  <c r="I93" i="26"/>
  <c r="H93" i="26"/>
  <c r="G93" i="26"/>
  <c r="F93" i="26"/>
  <c r="E93" i="26"/>
  <c r="D93" i="26"/>
  <c r="C93" i="26"/>
  <c r="B93" i="26"/>
  <c r="L92" i="26"/>
  <c r="K92" i="26"/>
  <c r="J92" i="26"/>
  <c r="I92" i="26"/>
  <c r="H92" i="26"/>
  <c r="G92" i="26"/>
  <c r="F92" i="26"/>
  <c r="E92" i="26"/>
  <c r="D92" i="26"/>
  <c r="C92" i="26"/>
  <c r="B92" i="26"/>
  <c r="L91" i="26"/>
  <c r="K91" i="26"/>
  <c r="J91" i="26"/>
  <c r="I91" i="26"/>
  <c r="H91" i="26"/>
  <c r="G91" i="26"/>
  <c r="F91" i="26"/>
  <c r="E91" i="26"/>
  <c r="D91" i="26"/>
  <c r="C91" i="26"/>
  <c r="B91" i="26"/>
  <c r="L90" i="26"/>
  <c r="K90" i="26"/>
  <c r="J90" i="26"/>
  <c r="I90" i="26"/>
  <c r="H90" i="26"/>
  <c r="G90" i="26"/>
  <c r="F90" i="26"/>
  <c r="E90" i="26"/>
  <c r="D90" i="26"/>
  <c r="C90" i="26"/>
  <c r="B90" i="26"/>
  <c r="L89" i="26"/>
  <c r="K89" i="26"/>
  <c r="J89" i="26"/>
  <c r="I89" i="26"/>
  <c r="H89" i="26"/>
  <c r="G89" i="26"/>
  <c r="F89" i="26"/>
  <c r="E89" i="26"/>
  <c r="D89" i="26"/>
  <c r="C89" i="26"/>
  <c r="B89" i="26"/>
  <c r="L88" i="26"/>
  <c r="K88" i="26"/>
  <c r="J88" i="26"/>
  <c r="I88" i="26"/>
  <c r="H88" i="26"/>
  <c r="G88" i="26"/>
  <c r="F88" i="26"/>
  <c r="E88" i="26"/>
  <c r="D88" i="26"/>
  <c r="C88" i="26"/>
  <c r="B88" i="26"/>
  <c r="L87" i="26"/>
  <c r="K87" i="26"/>
  <c r="J87" i="26"/>
  <c r="I87" i="26"/>
  <c r="H87" i="26"/>
  <c r="G87" i="26"/>
  <c r="F87" i="26"/>
  <c r="E87" i="26"/>
  <c r="D87" i="26"/>
  <c r="C87" i="26"/>
  <c r="B87" i="26"/>
  <c r="L86" i="26"/>
  <c r="K86" i="26"/>
  <c r="J86" i="26"/>
  <c r="I86" i="26"/>
  <c r="H86" i="26"/>
  <c r="G86" i="26"/>
  <c r="F86" i="26"/>
  <c r="E86" i="26"/>
  <c r="D86" i="26"/>
  <c r="C86" i="26"/>
  <c r="B86" i="26"/>
  <c r="L85" i="26"/>
  <c r="K85" i="26"/>
  <c r="J85" i="26"/>
  <c r="I85" i="26"/>
  <c r="H85" i="26"/>
  <c r="G85" i="26"/>
  <c r="F85" i="26"/>
  <c r="E85" i="26"/>
  <c r="D85" i="26"/>
  <c r="C85" i="26"/>
  <c r="B85" i="26"/>
  <c r="L84" i="26"/>
  <c r="K84" i="26"/>
  <c r="J84" i="26"/>
  <c r="I84" i="26"/>
  <c r="H84" i="26"/>
  <c r="G84" i="26"/>
  <c r="F84" i="26"/>
  <c r="E84" i="26"/>
  <c r="D84" i="26"/>
  <c r="C84" i="26"/>
  <c r="B84" i="26"/>
  <c r="L83" i="26"/>
  <c r="K83" i="26"/>
  <c r="J83" i="26"/>
  <c r="I83" i="26"/>
  <c r="H83" i="26"/>
  <c r="G83" i="26"/>
  <c r="F83" i="26"/>
  <c r="E83" i="26"/>
  <c r="D83" i="26"/>
  <c r="C83" i="26"/>
  <c r="B83" i="26"/>
  <c r="L82" i="26"/>
  <c r="K82" i="26"/>
  <c r="J82" i="26"/>
  <c r="I82" i="26"/>
  <c r="H82" i="26"/>
  <c r="G82" i="26"/>
  <c r="F82" i="26"/>
  <c r="E82" i="26"/>
  <c r="D82" i="26"/>
  <c r="C82" i="26"/>
  <c r="B82" i="26"/>
  <c r="L81" i="26"/>
  <c r="K81" i="26"/>
  <c r="J81" i="26"/>
  <c r="I81" i="26"/>
  <c r="H81" i="26"/>
  <c r="G81" i="26"/>
  <c r="F81" i="26"/>
  <c r="E81" i="26"/>
  <c r="D81" i="26"/>
  <c r="C81" i="26"/>
  <c r="B81" i="26"/>
  <c r="L80" i="26"/>
  <c r="K80" i="26"/>
  <c r="J80" i="26"/>
  <c r="I80" i="26"/>
  <c r="H80" i="26"/>
  <c r="G80" i="26"/>
  <c r="F80" i="26"/>
  <c r="E80" i="26"/>
  <c r="D80" i="26"/>
  <c r="C80" i="26"/>
  <c r="B80" i="26"/>
  <c r="L79" i="26"/>
  <c r="K79" i="26"/>
  <c r="J79" i="26"/>
  <c r="I79" i="26"/>
  <c r="H79" i="26"/>
  <c r="G79" i="26"/>
  <c r="F79" i="26"/>
  <c r="E79" i="26"/>
  <c r="D79" i="26"/>
  <c r="C79" i="26"/>
  <c r="B79" i="26"/>
  <c r="L78" i="26"/>
  <c r="K78" i="26"/>
  <c r="J78" i="26"/>
  <c r="I78" i="26"/>
  <c r="H78" i="26"/>
  <c r="G78" i="26"/>
  <c r="F78" i="26"/>
  <c r="E78" i="26"/>
  <c r="D78" i="26"/>
  <c r="C78" i="26"/>
  <c r="B78" i="26"/>
  <c r="L77" i="26"/>
  <c r="K77" i="26"/>
  <c r="J77" i="26"/>
  <c r="I77" i="26"/>
  <c r="H77" i="26"/>
  <c r="G77" i="26"/>
  <c r="F77" i="26"/>
  <c r="E77" i="26"/>
  <c r="D77" i="26"/>
  <c r="C77" i="26"/>
  <c r="B77" i="26"/>
  <c r="L76" i="26"/>
  <c r="K76" i="26"/>
  <c r="J76" i="26"/>
  <c r="I76" i="26"/>
  <c r="H76" i="26"/>
  <c r="G76" i="26"/>
  <c r="F76" i="26"/>
  <c r="E76" i="26"/>
  <c r="D76" i="26"/>
  <c r="C76" i="26"/>
  <c r="B76" i="26"/>
  <c r="L75" i="26"/>
  <c r="K75" i="26"/>
  <c r="J75" i="26"/>
  <c r="I75" i="26"/>
  <c r="H75" i="26"/>
  <c r="G75" i="26"/>
  <c r="F75" i="26"/>
  <c r="E75" i="26"/>
  <c r="D75" i="26"/>
  <c r="C75" i="26"/>
  <c r="B75" i="26"/>
  <c r="L74" i="26"/>
  <c r="K74" i="26"/>
  <c r="J74" i="26"/>
  <c r="I74" i="26"/>
  <c r="H74" i="26"/>
  <c r="G74" i="26"/>
  <c r="F74" i="26"/>
  <c r="E74" i="26"/>
  <c r="D74" i="26"/>
  <c r="C74" i="26"/>
  <c r="B74" i="26"/>
  <c r="L73" i="26"/>
  <c r="K73" i="26"/>
  <c r="J73" i="26"/>
  <c r="I73" i="26"/>
  <c r="H73" i="26"/>
  <c r="G73" i="26"/>
  <c r="F73" i="26"/>
  <c r="E73" i="26"/>
  <c r="D73" i="26"/>
  <c r="C73" i="26"/>
  <c r="B73" i="26"/>
  <c r="L72" i="26"/>
  <c r="K72" i="26"/>
  <c r="J72" i="26"/>
  <c r="I72" i="26"/>
  <c r="H72" i="26"/>
  <c r="G72" i="26"/>
  <c r="F72" i="26"/>
  <c r="E72" i="26"/>
  <c r="D72" i="26"/>
  <c r="C72" i="26"/>
  <c r="B72" i="26"/>
  <c r="L104" i="25"/>
  <c r="K104" i="25"/>
  <c r="J104" i="25"/>
  <c r="I104" i="25"/>
  <c r="H104" i="25"/>
  <c r="G104" i="25"/>
  <c r="F104" i="25"/>
  <c r="E104" i="25"/>
  <c r="D104" i="25"/>
  <c r="C104" i="25"/>
  <c r="L103" i="25"/>
  <c r="K103" i="25"/>
  <c r="J103" i="25"/>
  <c r="I103" i="25"/>
  <c r="H103" i="25"/>
  <c r="G103" i="25"/>
  <c r="F103" i="25"/>
  <c r="E103" i="25"/>
  <c r="D103" i="25"/>
  <c r="C103" i="25"/>
  <c r="L101" i="25"/>
  <c r="K101" i="25"/>
  <c r="J101" i="25"/>
  <c r="I101" i="25"/>
  <c r="H101" i="25"/>
  <c r="G101" i="25"/>
  <c r="F101" i="25"/>
  <c r="E101" i="25"/>
  <c r="D101" i="25"/>
  <c r="C101" i="25"/>
  <c r="B101" i="25"/>
  <c r="L100" i="25"/>
  <c r="K100" i="25"/>
  <c r="J100" i="25"/>
  <c r="I100" i="25"/>
  <c r="H100" i="25"/>
  <c r="G100" i="25"/>
  <c r="F100" i="25"/>
  <c r="E100" i="25"/>
  <c r="D100" i="25"/>
  <c r="C100" i="25"/>
  <c r="B100" i="25"/>
  <c r="L99" i="25"/>
  <c r="K99" i="25"/>
  <c r="J99" i="25"/>
  <c r="I99" i="25"/>
  <c r="H99" i="25"/>
  <c r="G99" i="25"/>
  <c r="F99" i="25"/>
  <c r="E99" i="25"/>
  <c r="D99" i="25"/>
  <c r="C99" i="25"/>
  <c r="B99" i="25"/>
  <c r="L98" i="25"/>
  <c r="K98" i="25"/>
  <c r="J98" i="25"/>
  <c r="I98" i="25"/>
  <c r="H98" i="25"/>
  <c r="G98" i="25"/>
  <c r="F98" i="25"/>
  <c r="E98" i="25"/>
  <c r="D98" i="25"/>
  <c r="C98" i="25"/>
  <c r="B98" i="25"/>
  <c r="L97" i="25"/>
  <c r="K97" i="25"/>
  <c r="J97" i="25"/>
  <c r="I97" i="25"/>
  <c r="H97" i="25"/>
  <c r="G97" i="25"/>
  <c r="F97" i="25"/>
  <c r="E97" i="25"/>
  <c r="D97" i="25"/>
  <c r="C97" i="25"/>
  <c r="B97" i="25"/>
  <c r="L96" i="25"/>
  <c r="K96" i="25"/>
  <c r="J96" i="25"/>
  <c r="I96" i="25"/>
  <c r="H96" i="25"/>
  <c r="G96" i="25"/>
  <c r="F96" i="25"/>
  <c r="E96" i="25"/>
  <c r="D96" i="25"/>
  <c r="C96" i="25"/>
  <c r="B96" i="25"/>
  <c r="L95" i="25"/>
  <c r="K95" i="25"/>
  <c r="J95" i="25"/>
  <c r="I95" i="25"/>
  <c r="H95" i="25"/>
  <c r="G95" i="25"/>
  <c r="F95" i="25"/>
  <c r="E95" i="25"/>
  <c r="D95" i="25"/>
  <c r="C95" i="25"/>
  <c r="B95" i="25"/>
  <c r="L94" i="25"/>
  <c r="K94" i="25"/>
  <c r="J94" i="25"/>
  <c r="I94" i="25"/>
  <c r="H94" i="25"/>
  <c r="G94" i="25"/>
  <c r="F94" i="25"/>
  <c r="E94" i="25"/>
  <c r="D94" i="25"/>
  <c r="C94" i="25"/>
  <c r="B94" i="25"/>
  <c r="L93" i="25"/>
  <c r="K93" i="25"/>
  <c r="J93" i="25"/>
  <c r="I93" i="25"/>
  <c r="H93" i="25"/>
  <c r="G93" i="25"/>
  <c r="F93" i="25"/>
  <c r="E93" i="25"/>
  <c r="D93" i="25"/>
  <c r="C93" i="25"/>
  <c r="B93" i="25"/>
  <c r="L92" i="25"/>
  <c r="K92" i="25"/>
  <c r="J92" i="25"/>
  <c r="I92" i="25"/>
  <c r="H92" i="25"/>
  <c r="G92" i="25"/>
  <c r="F92" i="25"/>
  <c r="E92" i="25"/>
  <c r="D92" i="25"/>
  <c r="C92" i="25"/>
  <c r="B92" i="25"/>
  <c r="L91" i="25"/>
  <c r="K91" i="25"/>
  <c r="J91" i="25"/>
  <c r="I91" i="25"/>
  <c r="H91" i="25"/>
  <c r="G91" i="25"/>
  <c r="F91" i="25"/>
  <c r="E91" i="25"/>
  <c r="D91" i="25"/>
  <c r="C91" i="25"/>
  <c r="B91" i="25"/>
  <c r="L90" i="25"/>
  <c r="K90" i="25"/>
  <c r="J90" i="25"/>
  <c r="I90" i="25"/>
  <c r="H90" i="25"/>
  <c r="G90" i="25"/>
  <c r="F90" i="25"/>
  <c r="E90" i="25"/>
  <c r="D90" i="25"/>
  <c r="C90" i="25"/>
  <c r="B90" i="25"/>
  <c r="L89" i="25"/>
  <c r="K89" i="25"/>
  <c r="J89" i="25"/>
  <c r="I89" i="25"/>
  <c r="H89" i="25"/>
  <c r="G89" i="25"/>
  <c r="F89" i="25"/>
  <c r="E89" i="25"/>
  <c r="D89" i="25"/>
  <c r="C89" i="25"/>
  <c r="B89" i="25"/>
  <c r="L88" i="25"/>
  <c r="K88" i="25"/>
  <c r="J88" i="25"/>
  <c r="I88" i="25"/>
  <c r="H88" i="25"/>
  <c r="G88" i="25"/>
  <c r="F88" i="25"/>
  <c r="E88" i="25"/>
  <c r="D88" i="25"/>
  <c r="C88" i="25"/>
  <c r="B88" i="25"/>
  <c r="L87" i="25"/>
  <c r="K87" i="25"/>
  <c r="J87" i="25"/>
  <c r="I87" i="25"/>
  <c r="H87" i="25"/>
  <c r="G87" i="25"/>
  <c r="F87" i="25"/>
  <c r="E87" i="25"/>
  <c r="D87" i="25"/>
  <c r="C87" i="25"/>
  <c r="B87" i="25"/>
  <c r="L86" i="25"/>
  <c r="K86" i="25"/>
  <c r="J86" i="25"/>
  <c r="I86" i="25"/>
  <c r="H86" i="25"/>
  <c r="G86" i="25"/>
  <c r="F86" i="25"/>
  <c r="E86" i="25"/>
  <c r="D86" i="25"/>
  <c r="C86" i="25"/>
  <c r="B86" i="25"/>
  <c r="L85" i="25"/>
  <c r="K85" i="25"/>
  <c r="J85" i="25"/>
  <c r="I85" i="25"/>
  <c r="H85" i="25"/>
  <c r="G85" i="25"/>
  <c r="F85" i="25"/>
  <c r="E85" i="25"/>
  <c r="D85" i="25"/>
  <c r="C85" i="25"/>
  <c r="B85" i="25"/>
  <c r="L84" i="25"/>
  <c r="K84" i="25"/>
  <c r="J84" i="25"/>
  <c r="I84" i="25"/>
  <c r="H84" i="25"/>
  <c r="G84" i="25"/>
  <c r="F84" i="25"/>
  <c r="E84" i="25"/>
  <c r="D84" i="25"/>
  <c r="C84" i="25"/>
  <c r="B84" i="25"/>
  <c r="L83" i="25"/>
  <c r="K83" i="25"/>
  <c r="J83" i="25"/>
  <c r="I83" i="25"/>
  <c r="H83" i="25"/>
  <c r="G83" i="25"/>
  <c r="F83" i="25"/>
  <c r="E83" i="25"/>
  <c r="D83" i="25"/>
  <c r="C83" i="25"/>
  <c r="B83" i="25"/>
  <c r="L82" i="25"/>
  <c r="K82" i="25"/>
  <c r="J82" i="25"/>
  <c r="I82" i="25"/>
  <c r="H82" i="25"/>
  <c r="G82" i="25"/>
  <c r="F82" i="25"/>
  <c r="E82" i="25"/>
  <c r="D82" i="25"/>
  <c r="C82" i="25"/>
  <c r="B82" i="25"/>
  <c r="L81" i="25"/>
  <c r="K81" i="25"/>
  <c r="J81" i="25"/>
  <c r="I81" i="25"/>
  <c r="H81" i="25"/>
  <c r="G81" i="25"/>
  <c r="F81" i="25"/>
  <c r="E81" i="25"/>
  <c r="D81" i="25"/>
  <c r="C81" i="25"/>
  <c r="B81" i="25"/>
  <c r="L80" i="25"/>
  <c r="K80" i="25"/>
  <c r="J80" i="25"/>
  <c r="I80" i="25"/>
  <c r="H80" i="25"/>
  <c r="G80" i="25"/>
  <c r="F80" i="25"/>
  <c r="E80" i="25"/>
  <c r="D80" i="25"/>
  <c r="C80" i="25"/>
  <c r="B80" i="25"/>
  <c r="L79" i="25"/>
  <c r="K79" i="25"/>
  <c r="J79" i="25"/>
  <c r="I79" i="25"/>
  <c r="H79" i="25"/>
  <c r="G79" i="25"/>
  <c r="F79" i="25"/>
  <c r="E79" i="25"/>
  <c r="D79" i="25"/>
  <c r="C79" i="25"/>
  <c r="B79" i="25"/>
  <c r="L78" i="25"/>
  <c r="K78" i="25"/>
  <c r="J78" i="25"/>
  <c r="I78" i="25"/>
  <c r="H78" i="25"/>
  <c r="G78" i="25"/>
  <c r="F78" i="25"/>
  <c r="E78" i="25"/>
  <c r="D78" i="25"/>
  <c r="C78" i="25"/>
  <c r="B78" i="25"/>
  <c r="L77" i="25"/>
  <c r="K77" i="25"/>
  <c r="J77" i="25"/>
  <c r="I77" i="25"/>
  <c r="H77" i="25"/>
  <c r="G77" i="25"/>
  <c r="F77" i="25"/>
  <c r="E77" i="25"/>
  <c r="D77" i="25"/>
  <c r="C77" i="25"/>
  <c r="B77" i="25"/>
  <c r="L76" i="25"/>
  <c r="K76" i="25"/>
  <c r="J76" i="25"/>
  <c r="I76" i="25"/>
  <c r="H76" i="25"/>
  <c r="G76" i="25"/>
  <c r="F76" i="25"/>
  <c r="E76" i="25"/>
  <c r="D76" i="25"/>
  <c r="C76" i="25"/>
  <c r="B76" i="25"/>
  <c r="L75" i="25"/>
  <c r="K75" i="25"/>
  <c r="J75" i="25"/>
  <c r="I75" i="25"/>
  <c r="H75" i="25"/>
  <c r="G75" i="25"/>
  <c r="F75" i="25"/>
  <c r="E75" i="25"/>
  <c r="D75" i="25"/>
  <c r="C75" i="25"/>
  <c r="B75" i="25"/>
  <c r="L74" i="25"/>
  <c r="K74" i="25"/>
  <c r="J74" i="25"/>
  <c r="I74" i="25"/>
  <c r="H74" i="25"/>
  <c r="G74" i="25"/>
  <c r="F74" i="25"/>
  <c r="E74" i="25"/>
  <c r="D74" i="25"/>
  <c r="C74" i="25"/>
  <c r="B74" i="25"/>
  <c r="L73" i="25"/>
  <c r="K73" i="25"/>
  <c r="J73" i="25"/>
  <c r="I73" i="25"/>
  <c r="H73" i="25"/>
  <c r="G73" i="25"/>
  <c r="F73" i="25"/>
  <c r="E73" i="25"/>
  <c r="D73" i="25"/>
  <c r="C73" i="25"/>
  <c r="B73" i="25"/>
  <c r="L72" i="25"/>
  <c r="K72" i="25"/>
  <c r="J72" i="25"/>
  <c r="I72" i="25"/>
  <c r="H72" i="25"/>
  <c r="G72" i="25"/>
  <c r="F72" i="25"/>
  <c r="E72" i="25"/>
  <c r="D72" i="25"/>
  <c r="C72" i="25"/>
  <c r="B72" i="25"/>
  <c r="L104" i="24"/>
  <c r="K104" i="24"/>
  <c r="J104" i="24"/>
  <c r="I104" i="24"/>
  <c r="H104" i="24"/>
  <c r="G104" i="24"/>
  <c r="F104" i="24"/>
  <c r="E104" i="24"/>
  <c r="D104" i="24"/>
  <c r="C104" i="24"/>
  <c r="L103" i="24"/>
  <c r="K103" i="24"/>
  <c r="J103" i="24"/>
  <c r="I103" i="24"/>
  <c r="H103" i="24"/>
  <c r="G103" i="24"/>
  <c r="F103" i="24"/>
  <c r="E103" i="24"/>
  <c r="D103" i="24"/>
  <c r="C103" i="24"/>
  <c r="L101" i="24"/>
  <c r="K101" i="24"/>
  <c r="J101" i="24"/>
  <c r="I101" i="24"/>
  <c r="H101" i="24"/>
  <c r="G101" i="24"/>
  <c r="F101" i="24"/>
  <c r="E101" i="24"/>
  <c r="D101" i="24"/>
  <c r="C101" i="24"/>
  <c r="B101" i="24"/>
  <c r="L100" i="24"/>
  <c r="K100" i="24"/>
  <c r="J100" i="24"/>
  <c r="I100" i="24"/>
  <c r="H100" i="24"/>
  <c r="G100" i="24"/>
  <c r="F100" i="24"/>
  <c r="E100" i="24"/>
  <c r="D100" i="24"/>
  <c r="C100" i="24"/>
  <c r="B100" i="24"/>
  <c r="L99" i="24"/>
  <c r="K99" i="24"/>
  <c r="J99" i="24"/>
  <c r="I99" i="24"/>
  <c r="H99" i="24"/>
  <c r="G99" i="24"/>
  <c r="F99" i="24"/>
  <c r="E99" i="24"/>
  <c r="D99" i="24"/>
  <c r="C99" i="24"/>
  <c r="B99" i="24"/>
  <c r="L98" i="24"/>
  <c r="K98" i="24"/>
  <c r="J98" i="24"/>
  <c r="I98" i="24"/>
  <c r="H98" i="24"/>
  <c r="G98" i="24"/>
  <c r="F98" i="24"/>
  <c r="E98" i="24"/>
  <c r="D98" i="24"/>
  <c r="C98" i="24"/>
  <c r="B98" i="24"/>
  <c r="L97" i="24"/>
  <c r="K97" i="24"/>
  <c r="J97" i="24"/>
  <c r="I97" i="24"/>
  <c r="H97" i="24"/>
  <c r="G97" i="24"/>
  <c r="F97" i="24"/>
  <c r="E97" i="24"/>
  <c r="D97" i="24"/>
  <c r="C97" i="24"/>
  <c r="B97" i="24"/>
  <c r="L96" i="24"/>
  <c r="K96" i="24"/>
  <c r="J96" i="24"/>
  <c r="I96" i="24"/>
  <c r="H96" i="24"/>
  <c r="G96" i="24"/>
  <c r="F96" i="24"/>
  <c r="E96" i="24"/>
  <c r="D96" i="24"/>
  <c r="C96" i="24"/>
  <c r="B96" i="24"/>
  <c r="L95" i="24"/>
  <c r="K95" i="24"/>
  <c r="J95" i="24"/>
  <c r="I95" i="24"/>
  <c r="H95" i="24"/>
  <c r="G95" i="24"/>
  <c r="F95" i="24"/>
  <c r="E95" i="24"/>
  <c r="D95" i="24"/>
  <c r="C95" i="24"/>
  <c r="B95" i="24"/>
  <c r="L94" i="24"/>
  <c r="K94" i="24"/>
  <c r="J94" i="24"/>
  <c r="I94" i="24"/>
  <c r="H94" i="24"/>
  <c r="G94" i="24"/>
  <c r="F94" i="24"/>
  <c r="E94" i="24"/>
  <c r="D94" i="24"/>
  <c r="C94" i="24"/>
  <c r="B94" i="24"/>
  <c r="L93" i="24"/>
  <c r="K93" i="24"/>
  <c r="J93" i="24"/>
  <c r="I93" i="24"/>
  <c r="H93" i="24"/>
  <c r="G93" i="24"/>
  <c r="F93" i="24"/>
  <c r="E93" i="24"/>
  <c r="D93" i="24"/>
  <c r="C93" i="24"/>
  <c r="B93" i="24"/>
  <c r="L92" i="24"/>
  <c r="K92" i="24"/>
  <c r="J92" i="24"/>
  <c r="I92" i="24"/>
  <c r="H92" i="24"/>
  <c r="G92" i="24"/>
  <c r="F92" i="24"/>
  <c r="E92" i="24"/>
  <c r="D92" i="24"/>
  <c r="C92" i="24"/>
  <c r="B92" i="24"/>
  <c r="L91" i="24"/>
  <c r="K91" i="24"/>
  <c r="J91" i="24"/>
  <c r="I91" i="24"/>
  <c r="H91" i="24"/>
  <c r="G91" i="24"/>
  <c r="F91" i="24"/>
  <c r="E91" i="24"/>
  <c r="D91" i="24"/>
  <c r="C91" i="24"/>
  <c r="B91" i="24"/>
  <c r="L90" i="24"/>
  <c r="K90" i="24"/>
  <c r="J90" i="24"/>
  <c r="I90" i="24"/>
  <c r="H90" i="24"/>
  <c r="G90" i="24"/>
  <c r="F90" i="24"/>
  <c r="E90" i="24"/>
  <c r="D90" i="24"/>
  <c r="C90" i="24"/>
  <c r="B90" i="24"/>
  <c r="L89" i="24"/>
  <c r="K89" i="24"/>
  <c r="J89" i="24"/>
  <c r="I89" i="24"/>
  <c r="H89" i="24"/>
  <c r="G89" i="24"/>
  <c r="F89" i="24"/>
  <c r="E89" i="24"/>
  <c r="D89" i="24"/>
  <c r="C89" i="24"/>
  <c r="B89" i="24"/>
  <c r="L88" i="24"/>
  <c r="K88" i="24"/>
  <c r="J88" i="24"/>
  <c r="I88" i="24"/>
  <c r="H88" i="24"/>
  <c r="G88" i="24"/>
  <c r="F88" i="24"/>
  <c r="E88" i="24"/>
  <c r="D88" i="24"/>
  <c r="C88" i="24"/>
  <c r="B88" i="24"/>
  <c r="L87" i="24"/>
  <c r="K87" i="24"/>
  <c r="J87" i="24"/>
  <c r="I87" i="24"/>
  <c r="H87" i="24"/>
  <c r="G87" i="24"/>
  <c r="F87" i="24"/>
  <c r="E87" i="24"/>
  <c r="D87" i="24"/>
  <c r="C87" i="24"/>
  <c r="B87" i="24"/>
  <c r="L86" i="24"/>
  <c r="K86" i="24"/>
  <c r="J86" i="24"/>
  <c r="I86" i="24"/>
  <c r="H86" i="24"/>
  <c r="G86" i="24"/>
  <c r="F86" i="24"/>
  <c r="E86" i="24"/>
  <c r="D86" i="24"/>
  <c r="C86" i="24"/>
  <c r="B86" i="24"/>
  <c r="L85" i="24"/>
  <c r="K85" i="24"/>
  <c r="J85" i="24"/>
  <c r="I85" i="24"/>
  <c r="H85" i="24"/>
  <c r="G85" i="24"/>
  <c r="F85" i="24"/>
  <c r="E85" i="24"/>
  <c r="D85" i="24"/>
  <c r="C85" i="24"/>
  <c r="B85" i="24"/>
  <c r="L84" i="24"/>
  <c r="K84" i="24"/>
  <c r="J84" i="24"/>
  <c r="I84" i="24"/>
  <c r="H84" i="24"/>
  <c r="G84" i="24"/>
  <c r="F84" i="24"/>
  <c r="E84" i="24"/>
  <c r="D84" i="24"/>
  <c r="C84" i="24"/>
  <c r="B84" i="24"/>
  <c r="L83" i="24"/>
  <c r="K83" i="24"/>
  <c r="J83" i="24"/>
  <c r="I83" i="24"/>
  <c r="H83" i="24"/>
  <c r="G83" i="24"/>
  <c r="F83" i="24"/>
  <c r="E83" i="24"/>
  <c r="D83" i="24"/>
  <c r="C83" i="24"/>
  <c r="B83" i="24"/>
  <c r="L82" i="24"/>
  <c r="K82" i="24"/>
  <c r="J82" i="24"/>
  <c r="I82" i="24"/>
  <c r="H82" i="24"/>
  <c r="G82" i="24"/>
  <c r="F82" i="24"/>
  <c r="E82" i="24"/>
  <c r="D82" i="24"/>
  <c r="C82" i="24"/>
  <c r="B82" i="24"/>
  <c r="L81" i="24"/>
  <c r="K81" i="24"/>
  <c r="J81" i="24"/>
  <c r="I81" i="24"/>
  <c r="H81" i="24"/>
  <c r="G81" i="24"/>
  <c r="F81" i="24"/>
  <c r="E81" i="24"/>
  <c r="D81" i="24"/>
  <c r="C81" i="24"/>
  <c r="B81" i="24"/>
  <c r="L80" i="24"/>
  <c r="K80" i="24"/>
  <c r="J80" i="24"/>
  <c r="I80" i="24"/>
  <c r="H80" i="24"/>
  <c r="G80" i="24"/>
  <c r="F80" i="24"/>
  <c r="E80" i="24"/>
  <c r="D80" i="24"/>
  <c r="C80" i="24"/>
  <c r="B80" i="24"/>
  <c r="L79" i="24"/>
  <c r="K79" i="24"/>
  <c r="J79" i="24"/>
  <c r="I79" i="24"/>
  <c r="H79" i="24"/>
  <c r="G79" i="24"/>
  <c r="F79" i="24"/>
  <c r="E79" i="24"/>
  <c r="D79" i="24"/>
  <c r="C79" i="24"/>
  <c r="B79" i="24"/>
  <c r="L78" i="24"/>
  <c r="K78" i="24"/>
  <c r="J78" i="24"/>
  <c r="I78" i="24"/>
  <c r="H78" i="24"/>
  <c r="G78" i="24"/>
  <c r="F78" i="24"/>
  <c r="E78" i="24"/>
  <c r="D78" i="24"/>
  <c r="C78" i="24"/>
  <c r="B78" i="24"/>
  <c r="L77" i="24"/>
  <c r="K77" i="24"/>
  <c r="J77" i="24"/>
  <c r="I77" i="24"/>
  <c r="H77" i="24"/>
  <c r="G77" i="24"/>
  <c r="F77" i="24"/>
  <c r="E77" i="24"/>
  <c r="D77" i="24"/>
  <c r="C77" i="24"/>
  <c r="B77" i="24"/>
  <c r="L76" i="24"/>
  <c r="K76" i="24"/>
  <c r="J76" i="24"/>
  <c r="I76" i="24"/>
  <c r="H76" i="24"/>
  <c r="G76" i="24"/>
  <c r="F76" i="24"/>
  <c r="E76" i="24"/>
  <c r="D76" i="24"/>
  <c r="C76" i="24"/>
  <c r="B76" i="24"/>
  <c r="L75" i="24"/>
  <c r="K75" i="24"/>
  <c r="J75" i="24"/>
  <c r="I75" i="24"/>
  <c r="H75" i="24"/>
  <c r="G75" i="24"/>
  <c r="F75" i="24"/>
  <c r="E75" i="24"/>
  <c r="D75" i="24"/>
  <c r="C75" i="24"/>
  <c r="B75" i="24"/>
  <c r="L74" i="24"/>
  <c r="K74" i="24"/>
  <c r="J74" i="24"/>
  <c r="I74" i="24"/>
  <c r="H74" i="24"/>
  <c r="G74" i="24"/>
  <c r="F74" i="24"/>
  <c r="E74" i="24"/>
  <c r="D74" i="24"/>
  <c r="C74" i="24"/>
  <c r="B74" i="24"/>
  <c r="L73" i="24"/>
  <c r="K73" i="24"/>
  <c r="J73" i="24"/>
  <c r="I73" i="24"/>
  <c r="H73" i="24"/>
  <c r="G73" i="24"/>
  <c r="F73" i="24"/>
  <c r="E73" i="24"/>
  <c r="D73" i="24"/>
  <c r="C73" i="24"/>
  <c r="B73" i="24"/>
  <c r="L72" i="24"/>
  <c r="K72" i="24"/>
  <c r="J72" i="24"/>
  <c r="I72" i="24"/>
  <c r="H72" i="24"/>
  <c r="G72" i="24"/>
  <c r="F72" i="24"/>
  <c r="E72" i="24"/>
  <c r="D72" i="24"/>
  <c r="C72" i="24"/>
  <c r="B72" i="24"/>
  <c r="L104" i="23"/>
  <c r="K104" i="23"/>
  <c r="J104" i="23"/>
  <c r="I104" i="23"/>
  <c r="H104" i="23"/>
  <c r="G104" i="23"/>
  <c r="F104" i="23"/>
  <c r="E104" i="23"/>
  <c r="D104" i="23"/>
  <c r="C104" i="23"/>
  <c r="L103" i="23"/>
  <c r="K103" i="23"/>
  <c r="J103" i="23"/>
  <c r="I103" i="23"/>
  <c r="H103" i="23"/>
  <c r="G103" i="23"/>
  <c r="F103" i="23"/>
  <c r="E103" i="23"/>
  <c r="D103" i="23"/>
  <c r="C103" i="23"/>
  <c r="L101" i="23"/>
  <c r="K101" i="23"/>
  <c r="J101" i="23"/>
  <c r="I101" i="23"/>
  <c r="H101" i="23"/>
  <c r="G101" i="23"/>
  <c r="F101" i="23"/>
  <c r="E101" i="23"/>
  <c r="D101" i="23"/>
  <c r="C101" i="23"/>
  <c r="B101" i="23"/>
  <c r="L100" i="23"/>
  <c r="K100" i="23"/>
  <c r="J100" i="23"/>
  <c r="I100" i="23"/>
  <c r="H100" i="23"/>
  <c r="G100" i="23"/>
  <c r="F100" i="23"/>
  <c r="E100" i="23"/>
  <c r="D100" i="23"/>
  <c r="C100" i="23"/>
  <c r="B100" i="23"/>
  <c r="L99" i="23"/>
  <c r="K99" i="23"/>
  <c r="J99" i="23"/>
  <c r="I99" i="23"/>
  <c r="H99" i="23"/>
  <c r="G99" i="23"/>
  <c r="F99" i="23"/>
  <c r="E99" i="23"/>
  <c r="D99" i="23"/>
  <c r="C99" i="23"/>
  <c r="B99" i="23"/>
  <c r="L98" i="23"/>
  <c r="K98" i="23"/>
  <c r="J98" i="23"/>
  <c r="I98" i="23"/>
  <c r="H98" i="23"/>
  <c r="G98" i="23"/>
  <c r="F98" i="23"/>
  <c r="E98" i="23"/>
  <c r="D98" i="23"/>
  <c r="C98" i="23"/>
  <c r="B98" i="23"/>
  <c r="L97" i="23"/>
  <c r="K97" i="23"/>
  <c r="J97" i="23"/>
  <c r="I97" i="23"/>
  <c r="H97" i="23"/>
  <c r="G97" i="23"/>
  <c r="F97" i="23"/>
  <c r="E97" i="23"/>
  <c r="D97" i="23"/>
  <c r="C97" i="23"/>
  <c r="B97" i="23"/>
  <c r="L96" i="23"/>
  <c r="K96" i="23"/>
  <c r="J96" i="23"/>
  <c r="I96" i="23"/>
  <c r="H96" i="23"/>
  <c r="G96" i="23"/>
  <c r="F96" i="23"/>
  <c r="E96" i="23"/>
  <c r="D96" i="23"/>
  <c r="C96" i="23"/>
  <c r="B96" i="23"/>
  <c r="L95" i="23"/>
  <c r="K95" i="23"/>
  <c r="J95" i="23"/>
  <c r="I95" i="23"/>
  <c r="H95" i="23"/>
  <c r="G95" i="23"/>
  <c r="F95" i="23"/>
  <c r="E95" i="23"/>
  <c r="D95" i="23"/>
  <c r="C95" i="23"/>
  <c r="B95" i="23"/>
  <c r="L94" i="23"/>
  <c r="K94" i="23"/>
  <c r="J94" i="23"/>
  <c r="I94" i="23"/>
  <c r="H94" i="23"/>
  <c r="G94" i="23"/>
  <c r="F94" i="23"/>
  <c r="E94" i="23"/>
  <c r="D94" i="23"/>
  <c r="C94" i="23"/>
  <c r="B94" i="23"/>
  <c r="L93" i="23"/>
  <c r="K93" i="23"/>
  <c r="J93" i="23"/>
  <c r="I93" i="23"/>
  <c r="H93" i="23"/>
  <c r="G93" i="23"/>
  <c r="F93" i="23"/>
  <c r="E93" i="23"/>
  <c r="D93" i="23"/>
  <c r="C93" i="23"/>
  <c r="B93" i="23"/>
  <c r="L92" i="23"/>
  <c r="K92" i="23"/>
  <c r="J92" i="23"/>
  <c r="I92" i="23"/>
  <c r="H92" i="23"/>
  <c r="G92" i="23"/>
  <c r="F92" i="23"/>
  <c r="E92" i="23"/>
  <c r="D92" i="23"/>
  <c r="C92" i="23"/>
  <c r="B92" i="23"/>
  <c r="L91" i="23"/>
  <c r="K91" i="23"/>
  <c r="J91" i="23"/>
  <c r="I91" i="23"/>
  <c r="H91" i="23"/>
  <c r="G91" i="23"/>
  <c r="F91" i="23"/>
  <c r="E91" i="23"/>
  <c r="D91" i="23"/>
  <c r="C91" i="23"/>
  <c r="B91" i="23"/>
  <c r="L90" i="23"/>
  <c r="K90" i="23"/>
  <c r="J90" i="23"/>
  <c r="I90" i="23"/>
  <c r="H90" i="23"/>
  <c r="G90" i="23"/>
  <c r="F90" i="23"/>
  <c r="E90" i="23"/>
  <c r="D90" i="23"/>
  <c r="C90" i="23"/>
  <c r="B90" i="23"/>
  <c r="L89" i="23"/>
  <c r="K89" i="23"/>
  <c r="J89" i="23"/>
  <c r="I89" i="23"/>
  <c r="H89" i="23"/>
  <c r="G89" i="23"/>
  <c r="F89" i="23"/>
  <c r="E89" i="23"/>
  <c r="D89" i="23"/>
  <c r="C89" i="23"/>
  <c r="B89" i="23"/>
  <c r="L88" i="23"/>
  <c r="K88" i="23"/>
  <c r="J88" i="23"/>
  <c r="I88" i="23"/>
  <c r="H88" i="23"/>
  <c r="G88" i="23"/>
  <c r="F88" i="23"/>
  <c r="E88" i="23"/>
  <c r="D88" i="23"/>
  <c r="C88" i="23"/>
  <c r="B88" i="23"/>
  <c r="L87" i="23"/>
  <c r="K87" i="23"/>
  <c r="J87" i="23"/>
  <c r="I87" i="23"/>
  <c r="H87" i="23"/>
  <c r="G87" i="23"/>
  <c r="F87" i="23"/>
  <c r="E87" i="23"/>
  <c r="D87" i="23"/>
  <c r="C87" i="23"/>
  <c r="B87" i="23"/>
  <c r="L86" i="23"/>
  <c r="K86" i="23"/>
  <c r="J86" i="23"/>
  <c r="I86" i="23"/>
  <c r="H86" i="23"/>
  <c r="G86" i="23"/>
  <c r="F86" i="23"/>
  <c r="E86" i="23"/>
  <c r="D86" i="23"/>
  <c r="C86" i="23"/>
  <c r="B86" i="23"/>
  <c r="L85" i="23"/>
  <c r="K85" i="23"/>
  <c r="J85" i="23"/>
  <c r="I85" i="23"/>
  <c r="H85" i="23"/>
  <c r="G85" i="23"/>
  <c r="F85" i="23"/>
  <c r="E85" i="23"/>
  <c r="D85" i="23"/>
  <c r="C85" i="23"/>
  <c r="B85" i="23"/>
  <c r="L84" i="23"/>
  <c r="K84" i="23"/>
  <c r="J84" i="23"/>
  <c r="I84" i="23"/>
  <c r="H84" i="23"/>
  <c r="G84" i="23"/>
  <c r="F84" i="23"/>
  <c r="E84" i="23"/>
  <c r="D84" i="23"/>
  <c r="C84" i="23"/>
  <c r="B84" i="23"/>
  <c r="L83" i="23"/>
  <c r="K83" i="23"/>
  <c r="J83" i="23"/>
  <c r="I83" i="23"/>
  <c r="H83" i="23"/>
  <c r="G83" i="23"/>
  <c r="F83" i="23"/>
  <c r="E83" i="23"/>
  <c r="D83" i="23"/>
  <c r="C83" i="23"/>
  <c r="B83" i="23"/>
  <c r="L82" i="23"/>
  <c r="K82" i="23"/>
  <c r="J82" i="23"/>
  <c r="I82" i="23"/>
  <c r="H82" i="23"/>
  <c r="G82" i="23"/>
  <c r="F82" i="23"/>
  <c r="E82" i="23"/>
  <c r="D82" i="23"/>
  <c r="C82" i="23"/>
  <c r="B82" i="23"/>
  <c r="L81" i="23"/>
  <c r="K81" i="23"/>
  <c r="J81" i="23"/>
  <c r="I81" i="23"/>
  <c r="H81" i="23"/>
  <c r="G81" i="23"/>
  <c r="F81" i="23"/>
  <c r="E81" i="23"/>
  <c r="D81" i="23"/>
  <c r="C81" i="23"/>
  <c r="B81" i="23"/>
  <c r="L80" i="23"/>
  <c r="K80" i="23"/>
  <c r="J80" i="23"/>
  <c r="I80" i="23"/>
  <c r="H80" i="23"/>
  <c r="G80" i="23"/>
  <c r="F80" i="23"/>
  <c r="E80" i="23"/>
  <c r="D80" i="23"/>
  <c r="C80" i="23"/>
  <c r="B80" i="23"/>
  <c r="L79" i="23"/>
  <c r="K79" i="23"/>
  <c r="J79" i="23"/>
  <c r="I79" i="23"/>
  <c r="H79" i="23"/>
  <c r="G79" i="23"/>
  <c r="F79" i="23"/>
  <c r="E79" i="23"/>
  <c r="D79" i="23"/>
  <c r="C79" i="23"/>
  <c r="B79" i="23"/>
  <c r="L78" i="23"/>
  <c r="K78" i="23"/>
  <c r="J78" i="23"/>
  <c r="I78" i="23"/>
  <c r="H78" i="23"/>
  <c r="G78" i="23"/>
  <c r="F78" i="23"/>
  <c r="E78" i="23"/>
  <c r="D78" i="23"/>
  <c r="C78" i="23"/>
  <c r="B78" i="23"/>
  <c r="L77" i="23"/>
  <c r="K77" i="23"/>
  <c r="J77" i="23"/>
  <c r="I77" i="23"/>
  <c r="H77" i="23"/>
  <c r="G77" i="23"/>
  <c r="F77" i="23"/>
  <c r="E77" i="23"/>
  <c r="D77" i="23"/>
  <c r="C77" i="23"/>
  <c r="B77" i="23"/>
  <c r="L76" i="23"/>
  <c r="K76" i="23"/>
  <c r="J76" i="23"/>
  <c r="I76" i="23"/>
  <c r="H76" i="23"/>
  <c r="G76" i="23"/>
  <c r="F76" i="23"/>
  <c r="E76" i="23"/>
  <c r="D76" i="23"/>
  <c r="C76" i="23"/>
  <c r="B76" i="23"/>
  <c r="L75" i="23"/>
  <c r="K75" i="23"/>
  <c r="J75" i="23"/>
  <c r="I75" i="23"/>
  <c r="H75" i="23"/>
  <c r="G75" i="23"/>
  <c r="F75" i="23"/>
  <c r="E75" i="23"/>
  <c r="D75" i="23"/>
  <c r="C75" i="23"/>
  <c r="B75" i="23"/>
  <c r="L74" i="23"/>
  <c r="K74" i="23"/>
  <c r="J74" i="23"/>
  <c r="I74" i="23"/>
  <c r="H74" i="23"/>
  <c r="G74" i="23"/>
  <c r="F74" i="23"/>
  <c r="E74" i="23"/>
  <c r="D74" i="23"/>
  <c r="C74" i="23"/>
  <c r="B74" i="23"/>
  <c r="L73" i="23"/>
  <c r="K73" i="23"/>
  <c r="J73" i="23"/>
  <c r="I73" i="23"/>
  <c r="H73" i="23"/>
  <c r="G73" i="23"/>
  <c r="F73" i="23"/>
  <c r="E73" i="23"/>
  <c r="D73" i="23"/>
  <c r="C73" i="23"/>
  <c r="B73" i="23"/>
  <c r="L72" i="23"/>
  <c r="K72" i="23"/>
  <c r="J72" i="23"/>
  <c r="I72" i="23"/>
  <c r="H72" i="23"/>
  <c r="G72" i="23"/>
  <c r="F72" i="23"/>
  <c r="E72" i="23"/>
  <c r="D72" i="23"/>
  <c r="C72" i="23"/>
  <c r="B72" i="23"/>
  <c r="L104" i="22"/>
  <c r="K104" i="22"/>
  <c r="J104" i="22"/>
  <c r="I104" i="22"/>
  <c r="H104" i="22"/>
  <c r="G104" i="22"/>
  <c r="F104" i="22"/>
  <c r="E104" i="22"/>
  <c r="D104" i="22"/>
  <c r="C104" i="22"/>
  <c r="L103" i="22"/>
  <c r="K103" i="22"/>
  <c r="J103" i="22"/>
  <c r="I103" i="22"/>
  <c r="H103" i="22"/>
  <c r="G103" i="22"/>
  <c r="F103" i="22"/>
  <c r="E103" i="22"/>
  <c r="D103" i="22"/>
  <c r="C103" i="22"/>
  <c r="L101" i="22"/>
  <c r="K101" i="22"/>
  <c r="J101" i="22"/>
  <c r="I101" i="22"/>
  <c r="H101" i="22"/>
  <c r="G101" i="22"/>
  <c r="F101" i="22"/>
  <c r="E101" i="22"/>
  <c r="D101" i="22"/>
  <c r="C101" i="22"/>
  <c r="B101" i="22"/>
  <c r="L100" i="22"/>
  <c r="K100" i="22"/>
  <c r="J100" i="22"/>
  <c r="I100" i="22"/>
  <c r="H100" i="22"/>
  <c r="G100" i="22"/>
  <c r="F100" i="22"/>
  <c r="E100" i="22"/>
  <c r="D100" i="22"/>
  <c r="C100" i="22"/>
  <c r="B100" i="22"/>
  <c r="L99" i="22"/>
  <c r="K99" i="22"/>
  <c r="J99" i="22"/>
  <c r="I99" i="22"/>
  <c r="H99" i="22"/>
  <c r="G99" i="22"/>
  <c r="F99" i="22"/>
  <c r="E99" i="22"/>
  <c r="D99" i="22"/>
  <c r="C99" i="22"/>
  <c r="B99" i="22"/>
  <c r="L98" i="22"/>
  <c r="K98" i="22"/>
  <c r="J98" i="22"/>
  <c r="I98" i="22"/>
  <c r="H98" i="22"/>
  <c r="G98" i="22"/>
  <c r="F98" i="22"/>
  <c r="E98" i="22"/>
  <c r="D98" i="22"/>
  <c r="C98" i="22"/>
  <c r="B98" i="22"/>
  <c r="L97" i="22"/>
  <c r="K97" i="22"/>
  <c r="J97" i="22"/>
  <c r="I97" i="22"/>
  <c r="H97" i="22"/>
  <c r="G97" i="22"/>
  <c r="F97" i="22"/>
  <c r="E97" i="22"/>
  <c r="D97" i="22"/>
  <c r="C97" i="22"/>
  <c r="B97" i="22"/>
  <c r="L96" i="22"/>
  <c r="K96" i="22"/>
  <c r="J96" i="22"/>
  <c r="I96" i="22"/>
  <c r="H96" i="22"/>
  <c r="G96" i="22"/>
  <c r="F96" i="22"/>
  <c r="E96" i="22"/>
  <c r="D96" i="22"/>
  <c r="C96" i="22"/>
  <c r="B96" i="22"/>
  <c r="L95" i="22"/>
  <c r="K95" i="22"/>
  <c r="J95" i="22"/>
  <c r="I95" i="22"/>
  <c r="H95" i="22"/>
  <c r="G95" i="22"/>
  <c r="F95" i="22"/>
  <c r="E95" i="22"/>
  <c r="D95" i="22"/>
  <c r="C95" i="22"/>
  <c r="B95" i="22"/>
  <c r="L94" i="22"/>
  <c r="K94" i="22"/>
  <c r="J94" i="22"/>
  <c r="I94" i="22"/>
  <c r="H94" i="22"/>
  <c r="G94" i="22"/>
  <c r="F94" i="22"/>
  <c r="E94" i="22"/>
  <c r="D94" i="22"/>
  <c r="C94" i="22"/>
  <c r="B94" i="22"/>
  <c r="L93" i="22"/>
  <c r="K93" i="22"/>
  <c r="J93" i="22"/>
  <c r="I93" i="22"/>
  <c r="H93" i="22"/>
  <c r="G93" i="22"/>
  <c r="F93" i="22"/>
  <c r="E93" i="22"/>
  <c r="D93" i="22"/>
  <c r="C93" i="22"/>
  <c r="B93" i="22"/>
  <c r="L92" i="22"/>
  <c r="K92" i="22"/>
  <c r="J92" i="22"/>
  <c r="I92" i="22"/>
  <c r="H92" i="22"/>
  <c r="G92" i="22"/>
  <c r="F92" i="22"/>
  <c r="E92" i="22"/>
  <c r="D92" i="22"/>
  <c r="C92" i="22"/>
  <c r="B92" i="22"/>
  <c r="L91" i="22"/>
  <c r="K91" i="22"/>
  <c r="J91" i="22"/>
  <c r="I91" i="22"/>
  <c r="H91" i="22"/>
  <c r="G91" i="22"/>
  <c r="F91" i="22"/>
  <c r="E91" i="22"/>
  <c r="D91" i="22"/>
  <c r="C91" i="22"/>
  <c r="B91" i="22"/>
  <c r="L90" i="22"/>
  <c r="K90" i="22"/>
  <c r="J90" i="22"/>
  <c r="I90" i="22"/>
  <c r="H90" i="22"/>
  <c r="G90" i="22"/>
  <c r="F90" i="22"/>
  <c r="E90" i="22"/>
  <c r="D90" i="22"/>
  <c r="C90" i="22"/>
  <c r="B90" i="22"/>
  <c r="L89" i="22"/>
  <c r="K89" i="22"/>
  <c r="J89" i="22"/>
  <c r="I89" i="22"/>
  <c r="H89" i="22"/>
  <c r="G89" i="22"/>
  <c r="F89" i="22"/>
  <c r="E89" i="22"/>
  <c r="D89" i="22"/>
  <c r="C89" i="22"/>
  <c r="B89" i="22"/>
  <c r="L88" i="22"/>
  <c r="K88" i="22"/>
  <c r="J88" i="22"/>
  <c r="I88" i="22"/>
  <c r="H88" i="22"/>
  <c r="G88" i="22"/>
  <c r="F88" i="22"/>
  <c r="E88" i="22"/>
  <c r="D88" i="22"/>
  <c r="C88" i="22"/>
  <c r="B88" i="22"/>
  <c r="L87" i="22"/>
  <c r="K87" i="22"/>
  <c r="J87" i="22"/>
  <c r="I87" i="22"/>
  <c r="H87" i="22"/>
  <c r="G87" i="22"/>
  <c r="F87" i="22"/>
  <c r="E87" i="22"/>
  <c r="D87" i="22"/>
  <c r="C87" i="22"/>
  <c r="B87" i="22"/>
  <c r="L86" i="22"/>
  <c r="K86" i="22"/>
  <c r="J86" i="22"/>
  <c r="I86" i="22"/>
  <c r="H86" i="22"/>
  <c r="G86" i="22"/>
  <c r="F86" i="22"/>
  <c r="E86" i="22"/>
  <c r="D86" i="22"/>
  <c r="C86" i="22"/>
  <c r="B86" i="22"/>
  <c r="L85" i="22"/>
  <c r="K85" i="22"/>
  <c r="J85" i="22"/>
  <c r="I85" i="22"/>
  <c r="H85" i="22"/>
  <c r="G85" i="22"/>
  <c r="F85" i="22"/>
  <c r="E85" i="22"/>
  <c r="D85" i="22"/>
  <c r="C85" i="22"/>
  <c r="B85" i="22"/>
  <c r="L84" i="22"/>
  <c r="K84" i="22"/>
  <c r="J84" i="22"/>
  <c r="I84" i="22"/>
  <c r="H84" i="22"/>
  <c r="G84" i="22"/>
  <c r="F84" i="22"/>
  <c r="E84" i="22"/>
  <c r="D84" i="22"/>
  <c r="C84" i="22"/>
  <c r="B84" i="22"/>
  <c r="L83" i="22"/>
  <c r="K83" i="22"/>
  <c r="J83" i="22"/>
  <c r="I83" i="22"/>
  <c r="H83" i="22"/>
  <c r="G83" i="22"/>
  <c r="F83" i="22"/>
  <c r="E83" i="22"/>
  <c r="D83" i="22"/>
  <c r="C83" i="22"/>
  <c r="B83" i="22"/>
  <c r="L82" i="22"/>
  <c r="K82" i="22"/>
  <c r="J82" i="22"/>
  <c r="I82" i="22"/>
  <c r="H82" i="22"/>
  <c r="G82" i="22"/>
  <c r="F82" i="22"/>
  <c r="E82" i="22"/>
  <c r="D82" i="22"/>
  <c r="C82" i="22"/>
  <c r="B82" i="22"/>
  <c r="L81" i="22"/>
  <c r="K81" i="22"/>
  <c r="J81" i="22"/>
  <c r="I81" i="22"/>
  <c r="H81" i="22"/>
  <c r="G81" i="22"/>
  <c r="F81" i="22"/>
  <c r="E81" i="22"/>
  <c r="D81" i="22"/>
  <c r="C81" i="22"/>
  <c r="B81" i="22"/>
  <c r="L80" i="22"/>
  <c r="K80" i="22"/>
  <c r="J80" i="22"/>
  <c r="I80" i="22"/>
  <c r="H80" i="22"/>
  <c r="G80" i="22"/>
  <c r="F80" i="22"/>
  <c r="E80" i="22"/>
  <c r="D80" i="22"/>
  <c r="C80" i="22"/>
  <c r="B80" i="22"/>
  <c r="L79" i="22"/>
  <c r="K79" i="22"/>
  <c r="J79" i="22"/>
  <c r="I79" i="22"/>
  <c r="H79" i="22"/>
  <c r="G79" i="22"/>
  <c r="F79" i="22"/>
  <c r="E79" i="22"/>
  <c r="D79" i="22"/>
  <c r="C79" i="22"/>
  <c r="B79" i="22"/>
  <c r="L78" i="22"/>
  <c r="K78" i="22"/>
  <c r="J78" i="22"/>
  <c r="I78" i="22"/>
  <c r="H78" i="22"/>
  <c r="G78" i="22"/>
  <c r="F78" i="22"/>
  <c r="E78" i="22"/>
  <c r="D78" i="22"/>
  <c r="C78" i="22"/>
  <c r="B78" i="22"/>
  <c r="L77" i="22"/>
  <c r="K77" i="22"/>
  <c r="J77" i="22"/>
  <c r="I77" i="22"/>
  <c r="H77" i="22"/>
  <c r="G77" i="22"/>
  <c r="F77" i="22"/>
  <c r="E77" i="22"/>
  <c r="D77" i="22"/>
  <c r="C77" i="22"/>
  <c r="B77" i="22"/>
  <c r="L76" i="22"/>
  <c r="K76" i="22"/>
  <c r="J76" i="22"/>
  <c r="I76" i="22"/>
  <c r="H76" i="22"/>
  <c r="G76" i="22"/>
  <c r="F76" i="22"/>
  <c r="E76" i="22"/>
  <c r="D76" i="22"/>
  <c r="C76" i="22"/>
  <c r="B76" i="22"/>
  <c r="L75" i="22"/>
  <c r="K75" i="22"/>
  <c r="J75" i="22"/>
  <c r="I75" i="22"/>
  <c r="H75" i="22"/>
  <c r="G75" i="22"/>
  <c r="F75" i="22"/>
  <c r="E75" i="22"/>
  <c r="D75" i="22"/>
  <c r="C75" i="22"/>
  <c r="B75" i="22"/>
  <c r="L74" i="22"/>
  <c r="K74" i="22"/>
  <c r="J74" i="22"/>
  <c r="I74" i="22"/>
  <c r="H74" i="22"/>
  <c r="G74" i="22"/>
  <c r="F74" i="22"/>
  <c r="E74" i="22"/>
  <c r="D74" i="22"/>
  <c r="C74" i="22"/>
  <c r="B74" i="22"/>
  <c r="L73" i="22"/>
  <c r="K73" i="22"/>
  <c r="J73" i="22"/>
  <c r="I73" i="22"/>
  <c r="H73" i="22"/>
  <c r="G73" i="22"/>
  <c r="F73" i="22"/>
  <c r="E73" i="22"/>
  <c r="D73" i="22"/>
  <c r="C73" i="22"/>
  <c r="B73" i="22"/>
  <c r="L72" i="22"/>
  <c r="K72" i="22"/>
  <c r="J72" i="22"/>
  <c r="I72" i="22"/>
  <c r="H72" i="22"/>
  <c r="G72" i="22"/>
  <c r="F72" i="22"/>
  <c r="E72" i="22"/>
  <c r="D72" i="22"/>
  <c r="C72" i="22"/>
  <c r="B72" i="22"/>
  <c r="G75" i="11" l="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H79" i="11"/>
  <c r="I79" i="11"/>
  <c r="J79" i="11"/>
  <c r="K79" i="11"/>
  <c r="L79" i="11"/>
  <c r="H80" i="11"/>
  <c r="I80" i="11"/>
  <c r="J80" i="11"/>
  <c r="K80" i="11"/>
  <c r="L80" i="11"/>
  <c r="H81" i="11"/>
  <c r="I81" i="11"/>
  <c r="J81" i="11"/>
  <c r="K81" i="11"/>
  <c r="L81" i="11"/>
  <c r="H82" i="11"/>
  <c r="I82" i="11"/>
  <c r="J82" i="11"/>
  <c r="K82" i="11"/>
  <c r="L82" i="11"/>
  <c r="H83" i="11"/>
  <c r="I83" i="11"/>
  <c r="J83" i="11"/>
  <c r="K83" i="11"/>
  <c r="L83" i="11"/>
  <c r="H84" i="11"/>
  <c r="I84" i="11"/>
  <c r="J84" i="11"/>
  <c r="K84" i="11"/>
  <c r="L84" i="11"/>
  <c r="H85" i="11"/>
  <c r="I85" i="11"/>
  <c r="J85" i="11"/>
  <c r="K85" i="11"/>
  <c r="L85" i="11"/>
  <c r="H86" i="11"/>
  <c r="I86" i="11"/>
  <c r="J86" i="11"/>
  <c r="K86" i="11"/>
  <c r="L86" i="11"/>
  <c r="C78" i="11"/>
  <c r="C79" i="11"/>
  <c r="C80" i="11"/>
  <c r="C81" i="11"/>
  <c r="C82" i="11"/>
  <c r="B79" i="11"/>
  <c r="B78" i="11"/>
  <c r="B73" i="11"/>
  <c r="B74" i="11"/>
  <c r="B75" i="11"/>
  <c r="B76" i="11"/>
  <c r="B77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72" i="11"/>
  <c r="C73" i="11"/>
  <c r="D73" i="11"/>
  <c r="E73" i="11"/>
  <c r="F73" i="11"/>
  <c r="G73" i="11"/>
  <c r="H73" i="11"/>
  <c r="I73" i="11"/>
  <c r="J73" i="11"/>
  <c r="K73" i="11"/>
  <c r="L73" i="11"/>
  <c r="C74" i="11"/>
  <c r="D74" i="11"/>
  <c r="E74" i="11"/>
  <c r="F74" i="11"/>
  <c r="G74" i="11"/>
  <c r="H74" i="11"/>
  <c r="I74" i="11"/>
  <c r="J74" i="11"/>
  <c r="K74" i="11"/>
  <c r="L74" i="11"/>
  <c r="C75" i="11"/>
  <c r="D75" i="11"/>
  <c r="E75" i="11"/>
  <c r="F75" i="11"/>
  <c r="H75" i="11"/>
  <c r="I75" i="11"/>
  <c r="J75" i="11"/>
  <c r="K75" i="11"/>
  <c r="L75" i="11"/>
  <c r="C76" i="11"/>
  <c r="D76" i="11"/>
  <c r="E76" i="11"/>
  <c r="H76" i="11"/>
  <c r="I76" i="11"/>
  <c r="J76" i="11"/>
  <c r="K76" i="11"/>
  <c r="L76" i="11"/>
  <c r="C77" i="11"/>
  <c r="D77" i="11"/>
  <c r="E77" i="11"/>
  <c r="H77" i="11"/>
  <c r="I77" i="11"/>
  <c r="J77" i="11"/>
  <c r="K77" i="11"/>
  <c r="L77" i="11"/>
  <c r="H78" i="11"/>
  <c r="I78" i="11"/>
  <c r="J78" i="11"/>
  <c r="K78" i="11"/>
  <c r="L78" i="11"/>
  <c r="C83" i="11"/>
  <c r="C84" i="11"/>
  <c r="C85" i="11"/>
  <c r="C86" i="11"/>
  <c r="C87" i="11"/>
  <c r="H87" i="11"/>
  <c r="I87" i="11"/>
  <c r="J87" i="11"/>
  <c r="K87" i="11"/>
  <c r="L87" i="11"/>
  <c r="C88" i="11"/>
  <c r="H88" i="11"/>
  <c r="I88" i="11"/>
  <c r="J88" i="11"/>
  <c r="K88" i="11"/>
  <c r="L88" i="11"/>
  <c r="C89" i="11"/>
  <c r="H89" i="11"/>
  <c r="I89" i="11"/>
  <c r="J89" i="11"/>
  <c r="K89" i="11"/>
  <c r="L89" i="11"/>
  <c r="C90" i="11"/>
  <c r="H90" i="11"/>
  <c r="I90" i="11"/>
  <c r="J90" i="11"/>
  <c r="K90" i="11"/>
  <c r="L90" i="11"/>
  <c r="C91" i="11"/>
  <c r="H91" i="11"/>
  <c r="I91" i="11"/>
  <c r="J91" i="11"/>
  <c r="K91" i="11"/>
  <c r="L91" i="11"/>
  <c r="C92" i="11"/>
  <c r="H92" i="11"/>
  <c r="I92" i="11"/>
  <c r="J92" i="11"/>
  <c r="K92" i="11"/>
  <c r="L92" i="11"/>
  <c r="C93" i="11"/>
  <c r="H93" i="11"/>
  <c r="I93" i="11"/>
  <c r="J93" i="11"/>
  <c r="K93" i="11"/>
  <c r="L93" i="11"/>
  <c r="C94" i="11"/>
  <c r="H94" i="11"/>
  <c r="I94" i="11"/>
  <c r="J94" i="11"/>
  <c r="K94" i="11"/>
  <c r="L94" i="11"/>
  <c r="C95" i="11"/>
  <c r="H95" i="11"/>
  <c r="I95" i="11"/>
  <c r="J95" i="11"/>
  <c r="K95" i="11"/>
  <c r="L95" i="11"/>
  <c r="C96" i="11"/>
  <c r="H96" i="11"/>
  <c r="I96" i="11"/>
  <c r="J96" i="11"/>
  <c r="K96" i="11"/>
  <c r="L96" i="11"/>
  <c r="C97" i="11"/>
  <c r="H97" i="11"/>
  <c r="I97" i="11"/>
  <c r="J97" i="11"/>
  <c r="K97" i="11"/>
  <c r="L97" i="11"/>
  <c r="C98" i="11"/>
  <c r="H98" i="11"/>
  <c r="I98" i="11"/>
  <c r="J98" i="11"/>
  <c r="K98" i="11"/>
  <c r="L98" i="11"/>
  <c r="C99" i="11"/>
  <c r="H99" i="11"/>
  <c r="I99" i="11"/>
  <c r="J99" i="11"/>
  <c r="K99" i="11"/>
  <c r="L99" i="11"/>
  <c r="C100" i="11"/>
  <c r="H100" i="11"/>
  <c r="I100" i="11"/>
  <c r="J100" i="11"/>
  <c r="K100" i="11"/>
  <c r="L100" i="11"/>
  <c r="C101" i="11"/>
  <c r="D101" i="11"/>
  <c r="E101" i="11"/>
  <c r="F101" i="11"/>
  <c r="G101" i="11"/>
  <c r="H101" i="11"/>
  <c r="I101" i="11"/>
  <c r="J101" i="11"/>
  <c r="K101" i="11"/>
  <c r="L101" i="11"/>
  <c r="C72" i="11"/>
  <c r="D72" i="11"/>
  <c r="E72" i="11"/>
  <c r="F72" i="11"/>
  <c r="G72" i="11"/>
  <c r="H72" i="11"/>
  <c r="I72" i="11"/>
  <c r="J72" i="11"/>
  <c r="K72" i="11"/>
  <c r="L72" i="11"/>
  <c r="L104" i="11"/>
  <c r="K104" i="11"/>
  <c r="J104" i="11"/>
  <c r="I104" i="11"/>
  <c r="H104" i="11"/>
  <c r="G104" i="11"/>
  <c r="F104" i="11"/>
  <c r="E104" i="11"/>
  <c r="D104" i="11"/>
  <c r="C104" i="11"/>
  <c r="L103" i="11"/>
  <c r="K103" i="11"/>
  <c r="J103" i="11"/>
  <c r="I103" i="11"/>
  <c r="H103" i="11"/>
  <c r="G103" i="11"/>
  <c r="F103" i="11"/>
  <c r="E103" i="11"/>
  <c r="D103" i="11"/>
  <c r="C103" i="11"/>
</calcChain>
</file>

<file path=xl/sharedStrings.xml><?xml version="1.0" encoding="utf-8"?>
<sst xmlns="http://schemas.openxmlformats.org/spreadsheetml/2006/main" count="276" uniqueCount="25">
  <si>
    <t>Initial</t>
  </si>
  <si>
    <t>3M</t>
    <phoneticPr fontId="1" type="noConversion"/>
  </si>
  <si>
    <t>6M</t>
    <phoneticPr fontId="1" type="noConversion"/>
  </si>
  <si>
    <t>9M</t>
    <phoneticPr fontId="1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</si>
  <si>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</si>
  <si>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</si>
  <si>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</si>
  <si>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36M</t>
    <phoneticPr fontId="1" type="noConversion"/>
  </si>
  <si>
    <r>
      <t xml:space="preserve">제 품 명
</t>
    </r>
    <r>
      <rPr>
        <b/>
        <sz val="8"/>
        <color theme="1"/>
        <rFont val="굴림"/>
        <family val="3"/>
        <charset val="129"/>
      </rPr>
      <t>(Product Name)</t>
    </r>
    <phoneticPr fontId="1" type="noConversion"/>
  </si>
  <si>
    <r>
      <t xml:space="preserve">작 성 자
</t>
    </r>
    <r>
      <rPr>
        <b/>
        <sz val="8"/>
        <color theme="1"/>
        <rFont val="굴림"/>
        <family val="3"/>
        <charset val="129"/>
      </rPr>
      <t>(Prepared by)</t>
    </r>
    <phoneticPr fontId="1" type="noConversion"/>
  </si>
  <si>
    <r>
      <t xml:space="preserve">시험기준
</t>
    </r>
    <r>
      <rPr>
        <b/>
        <sz val="8"/>
        <color theme="1"/>
        <rFont val="굴림"/>
        <family val="3"/>
        <charset val="129"/>
      </rPr>
      <t>(Acceptance Criteria)</t>
    </r>
    <phoneticPr fontId="1" type="noConversion"/>
  </si>
  <si>
    <r>
      <t xml:space="preserve">작 성 일
</t>
    </r>
    <r>
      <rPr>
        <b/>
        <sz val="8"/>
        <color theme="1"/>
        <rFont val="굴림"/>
        <family val="3"/>
        <charset val="129"/>
      </rPr>
      <t>(Preparation Date)</t>
    </r>
    <phoneticPr fontId="1" type="noConversion"/>
  </si>
  <si>
    <t>60M</t>
    <phoneticPr fontId="1" type="noConversion"/>
  </si>
  <si>
    <t>48M</t>
    <phoneticPr fontId="1" type="noConversion"/>
  </si>
  <si>
    <t>시험 결과(Test Result)</t>
    <phoneticPr fontId="1" type="noConversion"/>
  </si>
  <si>
    <t>제조 번호</t>
    <phoneticPr fontId="1" type="noConversion"/>
  </si>
  <si>
    <t>No.</t>
    <phoneticPr fontId="1" type="noConversion"/>
  </si>
  <si>
    <t>안정성 시험 경향 분석 결과</t>
    <phoneticPr fontId="1" type="noConversion"/>
  </si>
  <si>
    <t>하한관리
기준(LCL)</t>
    <phoneticPr fontId="1" type="noConversion"/>
  </si>
  <si>
    <t>상한관리
기준(UCL)</t>
    <phoneticPr fontId="1" type="noConversion"/>
  </si>
  <si>
    <t>시험항목
(Test Item)</t>
    <phoneticPr fontId="1" type="noConversion"/>
  </si>
  <si>
    <t>보관조건
(Storage Condition)</t>
    <phoneticPr fontId="1" type="noConversion"/>
  </si>
  <si>
    <t>비고 (Remark)</t>
    <phoneticPr fontId="1" type="noConversion"/>
  </si>
  <si>
    <t>최대</t>
    <phoneticPr fontId="1" type="noConversion"/>
  </si>
  <si>
    <t>최소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</si>
</sst>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);[Red]\(0.0\)"/>
    <numFmt numFmtId="177" formatCode="0;\-0;;@"/>
    <numFmt numFmtId="178" formatCode="0.0"/>
    <numFmt numFmtId="179" formatCode="0_);[Red]\(0\)"/>
    <numFmt numFmtId="180" formatCode="0.00_);[Red]\(0.0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79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2" xfId="0" quotePrefix="1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pH!$B$72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pH!$C$71:$L$71</c15:sqref>
                  </c15:fullRef>
                </c:ext>
              </c:extLst>
              <c:f>pH!$C$71:$I$71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pH!$C$72:$L$72</c15:sqref>
                  </c15:fullRef>
                </c:ext>
              </c:extLst>
              <c:f>pH!$C$72:$I$72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1-49B8-8391-6D3F8647799D}"/>
            </c:ext>
          </c:extLst>
        </c:ser>
        <c:ser>
          <c:idx val="1"/>
          <c:order val="1"/>
          <c:tx>
            <c:strRef>
              <c:f>pH!$B$73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pH!$C$71:$L$71</c15:sqref>
                  </c15:fullRef>
                </c:ext>
              </c:extLst>
              <c:f>pH!$C$71:$I$71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pH!$C$73:$L$73</c15:sqref>
                  </c15:fullRef>
                </c:ext>
              </c:extLst>
              <c:f>pH!$C$73:$I$73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1-49B8-8391-6D3F8647799D}"/>
            </c:ext>
          </c:extLst>
        </c:ser>
        <c:ser>
          <c:idx val="2"/>
          <c:order val="2"/>
          <c:tx>
            <c:strRef>
              <c:f>pH!$B$74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pH!$C$71:$L$71</c15:sqref>
                  </c15:fullRef>
                </c:ext>
              </c:extLst>
              <c:f>pH!$C$71:$I$71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pH!$C$74:$L$74</c15:sqref>
                  </c15:fullRef>
                </c:ext>
              </c:extLst>
              <c:f>pH!$C$74:$I$74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031-49B8-8391-6D3F8647799D}"/>
            </c:ext>
          </c:extLst>
        </c:ser>
        <c:ser>
          <c:idx val="30"/>
          <c:order val="30"/>
          <c:tx>
            <c:strRef>
              <c:f>pH!$B$103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pH!$C$71:$L$71</c15:sqref>
                  </c15:fullRef>
                </c:ext>
              </c:extLst>
              <c:f>pH!$C$71:$I$71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pH!$C$103:$L$103</c15:sqref>
                  </c15:fullRef>
                </c:ext>
              </c:extLst>
              <c:f>pH!$C$103:$I$103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031-49B8-8391-6D3F8647799D}"/>
            </c:ext>
          </c:extLst>
        </c:ser>
        <c:ser>
          <c:idx val="31"/>
          <c:order val="31"/>
          <c:tx>
            <c:strRef>
              <c:f>pH!$B$104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pH!$C$71:$L$71</c15:sqref>
                  </c15:fullRef>
                </c:ext>
              </c:extLst>
              <c:f>pH!$C$71:$I$71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pH!$C$104:$L$104</c15:sqref>
                  </c15:fullRef>
                </c:ext>
              </c:extLst>
              <c:f>pH!$C$104:$I$104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031-49B8-8391-6D3F8647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pH!$B$75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pH!$C$75:$L$75</c15:sqref>
                        </c15:fullRef>
                        <c15:formulaRef>
                          <c15:sqref>pH!$C$75:$I$75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031-49B8-8391-6D3F864779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pH!$C$76:$L$76</c15:sqref>
                        </c15:fullRef>
                        <c15:formulaRef>
                          <c15:sqref>pH!$C$76:$I$76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31-49B8-8391-6D3F864779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pH!$C$77:$L$77</c15:sqref>
                        </c15:fullRef>
                        <c15:formulaRef>
                          <c15:sqref>pH!$C$77:$I$77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31-49B8-8391-6D3F864779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pH!$C$78:$L$78</c15:sqref>
                        </c15:fullRef>
                        <c15:formulaRef>
                          <c15:sqref>pH!$C$78:$I$78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31-49B8-8391-6D3F8647799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pH!$C$79:$L$79</c15:sqref>
                        </c15:fullRef>
                        <c15:formulaRef>
                          <c15:sqref>pH!$C$79:$I$79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31-49B8-8391-6D3F8647799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pH!$C$80:$L$80</c15:sqref>
                        </c15:fullRef>
                        <c15:formulaRef>
                          <c15:sqref>pH!$C$80:$I$80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031-49B8-8391-6D3F8647799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pH!$C$81:$L$81</c15:sqref>
                        </c15:fullRef>
                        <c15:formulaRef>
                          <c15:sqref>pH!$C$81:$I$81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031-49B8-8391-6D3F8647799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pH!$C$82:$L$82</c15:sqref>
                        </c15:fullRef>
                        <c15:formulaRef>
                          <c15:sqref>pH!$C$82:$I$82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B031-49B8-8391-6D3F8647799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pH!$C$83:$L$83</c15:sqref>
                        </c15:fullRef>
                        <c15:formulaRef>
                          <c15:sqref>pH!$C$83:$I$83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B031-49B8-8391-6D3F8647799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pH!$C$84:$L$84</c15:sqref>
                        </c15:fullRef>
                        <c15:formulaRef>
                          <c15:sqref>pH!$C$84:$I$84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B031-49B8-8391-6D3F8647799D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pH!$C$85:$L$85</c15:sqref>
                        </c15:fullRef>
                        <c15:formulaRef>
                          <c15:sqref>pH!$C$85:$I$85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B031-49B8-8391-6D3F8647799D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pH!$C$86:$L$86</c15:sqref>
                        </c15:fullRef>
                        <c15:formulaRef>
                          <c15:sqref>pH!$C$86:$I$86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B031-49B8-8391-6D3F8647799D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pH!$C$87:$L$87</c15:sqref>
                        </c15:fullRef>
                        <c15:formulaRef>
                          <c15:sqref>pH!$C$87:$I$87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B031-49B8-8391-6D3F8647799D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pH!$C$88:$L$88</c15:sqref>
                        </c15:fullRef>
                        <c15:formulaRef>
                          <c15:sqref>pH!$C$88:$I$88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B031-49B8-8391-6D3F8647799D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pH!$C$89:$L$89</c15:sqref>
                        </c15:fullRef>
                        <c15:formulaRef>
                          <c15:sqref>pH!$C$89:$I$89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B031-49B8-8391-6D3F8647799D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pH!$C$90:$L$90</c15:sqref>
                        </c15:fullRef>
                        <c15:formulaRef>
                          <c15:sqref>pH!$C$90:$I$90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B031-49B8-8391-6D3F8647799D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pH!$C$91:$L$91</c15:sqref>
                        </c15:fullRef>
                        <c15:formulaRef>
                          <c15:sqref>pH!$C$91:$I$91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B031-49B8-8391-6D3F8647799D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pH!$C$92:$L$92</c15:sqref>
                        </c15:fullRef>
                        <c15:formulaRef>
                          <c15:sqref>pH!$C$92:$I$92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B031-49B8-8391-6D3F8647799D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pH!$C$93:$L$93</c15:sqref>
                        </c15:fullRef>
                        <c15:formulaRef>
                          <c15:sqref>pH!$C$93:$I$93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B031-49B8-8391-6D3F8647799D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pH!$C$94:$L$94</c15:sqref>
                        </c15:fullRef>
                        <c15:formulaRef>
                          <c15:sqref>pH!$C$94:$I$94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B031-49B8-8391-6D3F8647799D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pH!$C$95:$L$95</c15:sqref>
                        </c15:fullRef>
                        <c15:formulaRef>
                          <c15:sqref>pH!$C$95:$I$95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B031-49B8-8391-6D3F8647799D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pH!$C$96:$L$96</c15:sqref>
                        </c15:fullRef>
                        <c15:formulaRef>
                          <c15:sqref>pH!$C$96:$I$96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B031-49B8-8391-6D3F8647799D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pH!$C$97:$L$97</c15:sqref>
                        </c15:fullRef>
                        <c15:formulaRef>
                          <c15:sqref>pH!$C$97:$I$97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B031-49B8-8391-6D3F8647799D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pH!$C$98:$L$98</c15:sqref>
                        </c15:fullRef>
                        <c15:formulaRef>
                          <c15:sqref>pH!$C$98:$I$98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B031-49B8-8391-6D3F8647799D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pH!$C$99:$L$99</c15:sqref>
                        </c15:fullRef>
                        <c15:formulaRef>
                          <c15:sqref>pH!$C$99:$I$99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B031-49B8-8391-6D3F8647799D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pH!$C$100:$L$100</c15:sqref>
                        </c15:fullRef>
                        <c15:formulaRef>
                          <c15:sqref>pH!$C$100:$I$100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B031-49B8-8391-6D3F8647799D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pH!$C$71:$L$71</c15:sqref>
                        </c15:fullRef>
                        <c15:formulaRef>
                          <c15:sqref>pH!$C$71:$I$71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pH!$C$101:$L$101</c15:sqref>
                        </c15:fullRef>
                        <c15:formulaRef>
                          <c15:sqref>pH!$C$101:$I$101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B031-49B8-8391-6D3F8647799D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삼투압!$B$72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삼투압!$C$71:$L$71</c15:sqref>
                  </c15:fullRef>
                </c:ext>
              </c:extLst>
              <c:f>삼투압!$C$71:$I$71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삼투압!$C$72:$L$72</c15:sqref>
                  </c15:fullRef>
                </c:ext>
              </c:extLst>
              <c:f>삼투압!$C$72:$I$72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E-4DAF-97E3-1655D102F67B}"/>
            </c:ext>
          </c:extLst>
        </c:ser>
        <c:ser>
          <c:idx val="1"/>
          <c:order val="1"/>
          <c:tx>
            <c:strRef>
              <c:f>삼투압!$B$73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삼투압!$C$71:$L$71</c15:sqref>
                  </c15:fullRef>
                </c:ext>
              </c:extLst>
              <c:f>삼투압!$C$71:$I$71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삼투압!$C$73:$L$73</c15:sqref>
                  </c15:fullRef>
                </c:ext>
              </c:extLst>
              <c:f>삼투압!$C$73:$I$73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E-4DAF-97E3-1655D102F67B}"/>
            </c:ext>
          </c:extLst>
        </c:ser>
        <c:ser>
          <c:idx val="2"/>
          <c:order val="2"/>
          <c:tx>
            <c:strRef>
              <c:f>삼투압!$B$74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삼투압!$C$71:$L$71</c15:sqref>
                  </c15:fullRef>
                </c:ext>
              </c:extLst>
              <c:f>삼투압!$C$71:$I$71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삼투압!$C$74:$L$74</c15:sqref>
                  </c15:fullRef>
                </c:ext>
              </c:extLst>
              <c:f>삼투압!$C$74:$I$74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B3E-4DAF-97E3-1655D102F67B}"/>
            </c:ext>
          </c:extLst>
        </c:ser>
        <c:ser>
          <c:idx val="30"/>
          <c:order val="30"/>
          <c:tx>
            <c:strRef>
              <c:f>삼투압!$B$103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삼투압!$C$71:$L$71</c15:sqref>
                  </c15:fullRef>
                </c:ext>
              </c:extLst>
              <c:f>삼투압!$C$71:$I$71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삼투압!$C$103:$L$103</c15:sqref>
                  </c15:fullRef>
                </c:ext>
              </c:extLst>
              <c:f>삼투압!$C$103:$I$103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E-4DAF-97E3-1655D102F67B}"/>
            </c:ext>
          </c:extLst>
        </c:ser>
        <c:ser>
          <c:idx val="31"/>
          <c:order val="31"/>
          <c:tx>
            <c:strRef>
              <c:f>삼투압!$B$104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삼투압!$C$71:$L$71</c15:sqref>
                  </c15:fullRef>
                </c:ext>
              </c:extLst>
              <c:f>삼투압!$C$71:$I$71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삼투압!$C$104:$L$104</c15:sqref>
                  </c15:fullRef>
                </c:ext>
              </c:extLst>
              <c:f>삼투압!$C$104:$I$104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E-4DAF-97E3-1655D102F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삼투압!$B$75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삼투압!$C$75:$L$75</c15:sqref>
                        </c15:fullRef>
                        <c15:formulaRef>
                          <c15:sqref>삼투압!$C$75:$I$75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3E-4DAF-97E3-1655D102F6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삼투압!$C$76:$L$76</c15:sqref>
                        </c15:fullRef>
                        <c15:formulaRef>
                          <c15:sqref>삼투압!$C$76:$I$76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3E-4DAF-97E3-1655D102F6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삼투압!$C$77:$L$77</c15:sqref>
                        </c15:fullRef>
                        <c15:formulaRef>
                          <c15:sqref>삼투압!$C$77:$I$77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B3E-4DAF-97E3-1655D102F67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삼투압!$C$78:$L$78</c15:sqref>
                        </c15:fullRef>
                        <c15:formulaRef>
                          <c15:sqref>삼투압!$C$78:$I$78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B3E-4DAF-97E3-1655D102F67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삼투압!$C$79:$L$79</c15:sqref>
                        </c15:fullRef>
                        <c15:formulaRef>
                          <c15:sqref>삼투압!$C$79:$I$79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B3E-4DAF-97E3-1655D102F67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삼투압!$C$80:$L$80</c15:sqref>
                        </c15:fullRef>
                        <c15:formulaRef>
                          <c15:sqref>삼투압!$C$80:$I$80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B3E-4DAF-97E3-1655D102F67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삼투압!$C$81:$L$81</c15:sqref>
                        </c15:fullRef>
                        <c15:formulaRef>
                          <c15:sqref>삼투압!$C$81:$I$81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B3E-4DAF-97E3-1655D102F67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삼투압!$C$82:$L$82</c15:sqref>
                        </c15:fullRef>
                        <c15:formulaRef>
                          <c15:sqref>삼투압!$C$82:$I$82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B3E-4DAF-97E3-1655D102F67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삼투압!$C$83:$L$83</c15:sqref>
                        </c15:fullRef>
                        <c15:formulaRef>
                          <c15:sqref>삼투압!$C$83:$I$83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B3E-4DAF-97E3-1655D102F67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삼투압!$C$84:$L$84</c15:sqref>
                        </c15:fullRef>
                        <c15:formulaRef>
                          <c15:sqref>삼투압!$C$84:$I$84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B3E-4DAF-97E3-1655D102F67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삼투압!$C$85:$L$85</c15:sqref>
                        </c15:fullRef>
                        <c15:formulaRef>
                          <c15:sqref>삼투압!$C$85:$I$85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B3E-4DAF-97E3-1655D102F67B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삼투압!$C$86:$L$86</c15:sqref>
                        </c15:fullRef>
                        <c15:formulaRef>
                          <c15:sqref>삼투압!$C$86:$I$86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B3E-4DAF-97E3-1655D102F67B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삼투압!$C$87:$L$87</c15:sqref>
                        </c15:fullRef>
                        <c15:formulaRef>
                          <c15:sqref>삼투압!$C$87:$I$87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B3E-4DAF-97E3-1655D102F67B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삼투압!$C$88:$L$88</c15:sqref>
                        </c15:fullRef>
                        <c15:formulaRef>
                          <c15:sqref>삼투압!$C$88:$I$88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B3E-4DAF-97E3-1655D102F67B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삼투압!$C$89:$L$89</c15:sqref>
                        </c15:fullRef>
                        <c15:formulaRef>
                          <c15:sqref>삼투압!$C$89:$I$89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B3E-4DAF-97E3-1655D102F67B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삼투압!$C$90:$L$90</c15:sqref>
                        </c15:fullRef>
                        <c15:formulaRef>
                          <c15:sqref>삼투압!$C$90:$I$90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B3E-4DAF-97E3-1655D102F67B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삼투압!$C$91:$L$91</c15:sqref>
                        </c15:fullRef>
                        <c15:formulaRef>
                          <c15:sqref>삼투압!$C$91:$I$91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B3E-4DAF-97E3-1655D102F67B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삼투압!$C$92:$L$92</c15:sqref>
                        </c15:fullRef>
                        <c15:formulaRef>
                          <c15:sqref>삼투압!$C$92:$I$92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B3E-4DAF-97E3-1655D102F67B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삼투압!$C$93:$L$93</c15:sqref>
                        </c15:fullRef>
                        <c15:formulaRef>
                          <c15:sqref>삼투압!$C$93:$I$93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B3E-4DAF-97E3-1655D102F67B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삼투압!$C$94:$L$94</c15:sqref>
                        </c15:fullRef>
                        <c15:formulaRef>
                          <c15:sqref>삼투압!$C$94:$I$94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B3E-4DAF-97E3-1655D102F67B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삼투압!$C$95:$L$95</c15:sqref>
                        </c15:fullRef>
                        <c15:formulaRef>
                          <c15:sqref>삼투압!$C$95:$I$95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B3E-4DAF-97E3-1655D102F67B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삼투압!$C$96:$L$96</c15:sqref>
                        </c15:fullRef>
                        <c15:formulaRef>
                          <c15:sqref>삼투압!$C$96:$I$96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B3E-4DAF-97E3-1655D102F67B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삼투압!$C$97:$L$97</c15:sqref>
                        </c15:fullRef>
                        <c15:formulaRef>
                          <c15:sqref>삼투압!$C$97:$I$97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B3E-4DAF-97E3-1655D102F67B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삼투압!$C$98:$L$98</c15:sqref>
                        </c15:fullRef>
                        <c15:formulaRef>
                          <c15:sqref>삼투압!$C$98:$I$98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B3E-4DAF-97E3-1655D102F67B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삼투압!$C$99:$L$99</c15:sqref>
                        </c15:fullRef>
                        <c15:formulaRef>
                          <c15:sqref>삼투압!$C$99:$I$99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B3E-4DAF-97E3-1655D102F67B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삼투압!$C$100:$L$100</c15:sqref>
                        </c15:fullRef>
                        <c15:formulaRef>
                          <c15:sqref>삼투압!$C$100:$I$100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4B3E-4DAF-97E3-1655D102F67B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삼투압!$B$101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삼투압!$C$71:$L$71</c15:sqref>
                        </c15:fullRef>
                        <c15:formulaRef>
                          <c15:sqref>삼투압!$C$71:$I$71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삼투압!$C$101:$L$101</c15:sqref>
                        </c15:fullRef>
                        <c15:formulaRef>
                          <c15:sqref>삼투압!$C$101:$I$101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4B3E-4DAF-97E3-1655D102F67B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ax val="35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;\-0;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함량!$B$72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함량!$C$71:$L$71</c15:sqref>
                  </c15:fullRef>
                </c:ext>
              </c:extLst>
              <c:f>함량!$C$71:$I$71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함량!$C$72:$L$72</c15:sqref>
                  </c15:fullRef>
                </c:ext>
              </c:extLst>
              <c:f>함량!$C$72:$I$72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B-4E74-B314-69AABE790AC1}"/>
            </c:ext>
          </c:extLst>
        </c:ser>
        <c:ser>
          <c:idx val="1"/>
          <c:order val="1"/>
          <c:tx>
            <c:strRef>
              <c:f>함량!$B$73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함량!$C$71:$L$71</c15:sqref>
                  </c15:fullRef>
                </c:ext>
              </c:extLst>
              <c:f>함량!$C$71:$I$71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함량!$C$73:$L$73</c15:sqref>
                  </c15:fullRef>
                </c:ext>
              </c:extLst>
              <c:f>함량!$C$73:$I$73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B-4E74-B314-69AABE790AC1}"/>
            </c:ext>
          </c:extLst>
        </c:ser>
        <c:ser>
          <c:idx val="2"/>
          <c:order val="2"/>
          <c:tx>
            <c:strRef>
              <c:f>함량!$B$74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함량!$C$71:$L$71</c15:sqref>
                  </c15:fullRef>
                </c:ext>
              </c:extLst>
              <c:f>함량!$C$71:$I$71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함량!$C$74:$L$74</c15:sqref>
                  </c15:fullRef>
                </c:ext>
              </c:extLst>
              <c:f>함량!$C$74:$I$74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92B-4E74-B314-69AABE790AC1}"/>
            </c:ext>
          </c:extLst>
        </c:ser>
        <c:ser>
          <c:idx val="30"/>
          <c:order val="30"/>
          <c:tx>
            <c:strRef>
              <c:f>함량!$B$103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함량!$C$71:$L$71</c15:sqref>
                  </c15:fullRef>
                </c:ext>
              </c:extLst>
              <c:f>함량!$C$71:$I$71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함량!$C$103:$L$103</c15:sqref>
                  </c15:fullRef>
                </c:ext>
              </c:extLst>
              <c:f>함량!$C$103:$I$103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B-4E74-B314-69AABE790AC1}"/>
            </c:ext>
          </c:extLst>
        </c:ser>
        <c:ser>
          <c:idx val="31"/>
          <c:order val="31"/>
          <c:tx>
            <c:strRef>
              <c:f>함량!$B$104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함량!$C$71:$L$71</c15:sqref>
                  </c15:fullRef>
                </c:ext>
              </c:extLst>
              <c:f>함량!$C$71:$I$71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함량!$C$104:$L$104</c15:sqref>
                  </c15:fullRef>
                </c:ext>
              </c:extLst>
              <c:f>함량!$C$104:$I$104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B-4E74-B314-69AABE790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함량!$B$75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함량!$C$75:$L$75</c15:sqref>
                        </c15:fullRef>
                        <c15:formulaRef>
                          <c15:sqref>함량!$C$75:$I$75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92B-4E74-B314-69AABE790AC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함량!$C$76:$L$76</c15:sqref>
                        </c15:fullRef>
                        <c15:formulaRef>
                          <c15:sqref>함량!$C$76:$I$76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92B-4E74-B314-69AABE790A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함량!$C$77:$L$77</c15:sqref>
                        </c15:fullRef>
                        <c15:formulaRef>
                          <c15:sqref>함량!$C$77:$I$77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92B-4E74-B314-69AABE790A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함량!$C$78:$L$78</c15:sqref>
                        </c15:fullRef>
                        <c15:formulaRef>
                          <c15:sqref>함량!$C$78:$I$78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92B-4E74-B314-69AABE790A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함량!$C$79:$L$79</c15:sqref>
                        </c15:fullRef>
                        <c15:formulaRef>
                          <c15:sqref>함량!$C$79:$I$79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92B-4E74-B314-69AABE790AC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함량!$C$80:$L$80</c15:sqref>
                        </c15:fullRef>
                        <c15:formulaRef>
                          <c15:sqref>함량!$C$80:$I$80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92B-4E74-B314-69AABE790AC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함량!$C$81:$L$81</c15:sqref>
                        </c15:fullRef>
                        <c15:formulaRef>
                          <c15:sqref>함량!$C$81:$I$81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92B-4E74-B314-69AABE790AC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함량!$C$82:$L$82</c15:sqref>
                        </c15:fullRef>
                        <c15:formulaRef>
                          <c15:sqref>함량!$C$82:$I$82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92B-4E74-B314-69AABE790AC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함량!$C$83:$L$83</c15:sqref>
                        </c15:fullRef>
                        <c15:formulaRef>
                          <c15:sqref>함량!$C$83:$I$83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92B-4E74-B314-69AABE790AC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함량!$C$84:$L$84</c15:sqref>
                        </c15:fullRef>
                        <c15:formulaRef>
                          <c15:sqref>함량!$C$84:$I$84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92B-4E74-B314-69AABE790AC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함량!$C$85:$L$85</c15:sqref>
                        </c15:fullRef>
                        <c15:formulaRef>
                          <c15:sqref>함량!$C$85:$I$85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92B-4E74-B314-69AABE790AC1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함량!$C$86:$L$86</c15:sqref>
                        </c15:fullRef>
                        <c15:formulaRef>
                          <c15:sqref>함량!$C$86:$I$86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92B-4E74-B314-69AABE790AC1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함량!$C$87:$L$87</c15:sqref>
                        </c15:fullRef>
                        <c15:formulaRef>
                          <c15:sqref>함량!$C$87:$I$87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92B-4E74-B314-69AABE790AC1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함량!$C$88:$L$88</c15:sqref>
                        </c15:fullRef>
                        <c15:formulaRef>
                          <c15:sqref>함량!$C$88:$I$88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92B-4E74-B314-69AABE790AC1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함량!$C$89:$L$89</c15:sqref>
                        </c15:fullRef>
                        <c15:formulaRef>
                          <c15:sqref>함량!$C$89:$I$89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92B-4E74-B314-69AABE790AC1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함량!$C$90:$L$90</c15:sqref>
                        </c15:fullRef>
                        <c15:formulaRef>
                          <c15:sqref>함량!$C$90:$I$90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92B-4E74-B314-69AABE790AC1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함량!$C$91:$L$91</c15:sqref>
                        </c15:fullRef>
                        <c15:formulaRef>
                          <c15:sqref>함량!$C$91:$I$91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92B-4E74-B314-69AABE790AC1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함량!$C$92:$L$92</c15:sqref>
                        </c15:fullRef>
                        <c15:formulaRef>
                          <c15:sqref>함량!$C$92:$I$92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92B-4E74-B314-69AABE790AC1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함량!$C$93:$L$93</c15:sqref>
                        </c15:fullRef>
                        <c15:formulaRef>
                          <c15:sqref>함량!$C$93:$I$93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92B-4E74-B314-69AABE790AC1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함량!$C$94:$L$94</c15:sqref>
                        </c15:fullRef>
                        <c15:formulaRef>
                          <c15:sqref>함량!$C$94:$I$94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92B-4E74-B314-69AABE790AC1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함량!$C$95:$L$95</c15:sqref>
                        </c15:fullRef>
                        <c15:formulaRef>
                          <c15:sqref>함량!$C$95:$I$95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92B-4E74-B314-69AABE790AC1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함량!$C$96:$L$96</c15:sqref>
                        </c15:fullRef>
                        <c15:formulaRef>
                          <c15:sqref>함량!$C$96:$I$96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92B-4E74-B314-69AABE790AC1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함량!$C$97:$L$97</c15:sqref>
                        </c15:fullRef>
                        <c15:formulaRef>
                          <c15:sqref>함량!$C$97:$I$97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92B-4E74-B314-69AABE790AC1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함량!$C$98:$L$98</c15:sqref>
                        </c15:fullRef>
                        <c15:formulaRef>
                          <c15:sqref>함량!$C$98:$I$98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92B-4E74-B314-69AABE790AC1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함량!$C$99:$L$99</c15:sqref>
                        </c15:fullRef>
                        <c15:formulaRef>
                          <c15:sqref>함량!$C$99:$I$99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92B-4E74-B314-69AABE790AC1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함량!$C$100:$L$100</c15:sqref>
                        </c15:fullRef>
                        <c15:formulaRef>
                          <c15:sqref>함량!$C$100:$I$100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792B-4E74-B314-69AABE790AC1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함량!$B$101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함량!$C$71:$L$71</c15:sqref>
                        </c15:fullRef>
                        <c15:formulaRef>
                          <c15:sqref>함량!$C$71:$I$71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함량!$C$101:$L$101</c15:sqref>
                        </c15:fullRef>
                        <c15:formulaRef>
                          <c15:sqref>함량!$C$101:$I$101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792B-4E74-B314-69AABE790AC1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A!$B$72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A!$C$71:$L$71</c15:sqref>
                  </c15:fullRef>
                </c:ext>
              </c:extLst>
              <c:f>A!$C$71:$I$71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A!$C$72:$L$72</c15:sqref>
                  </c15:fullRef>
                </c:ext>
              </c:extLst>
              <c:f>A!$C$72:$I$72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A-4438-AB75-E9127AEBC8F5}"/>
            </c:ext>
          </c:extLst>
        </c:ser>
        <c:ser>
          <c:idx val="1"/>
          <c:order val="1"/>
          <c:tx>
            <c:strRef>
              <c:f>A!$B$73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A!$C$71:$L$71</c15:sqref>
                  </c15:fullRef>
                </c:ext>
              </c:extLst>
              <c:f>A!$C$71:$I$71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A!$C$73:$L$73</c15:sqref>
                  </c15:fullRef>
                </c:ext>
              </c:extLst>
              <c:f>A!$C$73:$I$73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A-4438-AB75-E9127AEBC8F5}"/>
            </c:ext>
          </c:extLst>
        </c:ser>
        <c:ser>
          <c:idx val="2"/>
          <c:order val="2"/>
          <c:tx>
            <c:strRef>
              <c:f>A!$B$74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A!$C$71:$L$71</c15:sqref>
                  </c15:fullRef>
                </c:ext>
              </c:extLst>
              <c:f>A!$C$71:$I$71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A!$C$74:$L$74</c15:sqref>
                  </c15:fullRef>
                </c:ext>
              </c:extLst>
              <c:f>A!$C$74:$I$74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45A-4438-AB75-E9127AEBC8F5}"/>
            </c:ext>
          </c:extLst>
        </c:ser>
        <c:ser>
          <c:idx val="30"/>
          <c:order val="30"/>
          <c:tx>
            <c:strRef>
              <c:f>A!$B$103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A!$C$71:$L$71</c15:sqref>
                  </c15:fullRef>
                </c:ext>
              </c:extLst>
              <c:f>A!$C$71:$I$71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A!$C$103:$L$103</c15:sqref>
                  </c15:fullRef>
                </c:ext>
              </c:extLst>
              <c:f>A!$C$103:$I$103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A-4438-AB75-E9127AEBC8F5}"/>
            </c:ext>
          </c:extLst>
        </c:ser>
        <c:ser>
          <c:idx val="31"/>
          <c:order val="31"/>
          <c:tx>
            <c:strRef>
              <c:f>A!$B$104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A!$C$71:$L$71</c15:sqref>
                  </c15:fullRef>
                </c:ext>
              </c:extLst>
              <c:f>A!$C$71:$I$71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A!$C$104:$L$104</c15:sqref>
                  </c15:fullRef>
                </c:ext>
              </c:extLst>
              <c:f>A!$C$104:$I$104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5A-4438-AB75-E9127AEB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A!$C$75:$L$75</c15:sqref>
                        </c15:fullRef>
                        <c15:formulaRef>
                          <c15:sqref>A!$C$75:$I$75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45A-4438-AB75-E9127AEBC8F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A!$C$76:$L$76</c15:sqref>
                        </c15:fullRef>
                        <c15:formulaRef>
                          <c15:sqref>A!$C$76:$I$76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45A-4438-AB75-E9127AEBC8F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A!$C$77:$L$77</c15:sqref>
                        </c15:fullRef>
                        <c15:formulaRef>
                          <c15:sqref>A!$C$77:$I$77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45A-4438-AB75-E9127AEBC8F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A!$C$78:$L$78</c15:sqref>
                        </c15:fullRef>
                        <c15:formulaRef>
                          <c15:sqref>A!$C$78:$I$78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45A-4438-AB75-E9127AEBC8F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A!$C$79:$L$79</c15:sqref>
                        </c15:fullRef>
                        <c15:formulaRef>
                          <c15:sqref>A!$C$79:$I$79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45A-4438-AB75-E9127AEBC8F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A!$C$80:$L$80</c15:sqref>
                        </c15:fullRef>
                        <c15:formulaRef>
                          <c15:sqref>A!$C$80:$I$80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45A-4438-AB75-E9127AEBC8F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A!$C$81:$L$81</c15:sqref>
                        </c15:fullRef>
                        <c15:formulaRef>
                          <c15:sqref>A!$C$81:$I$81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45A-4438-AB75-E9127AEBC8F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A!$C$82:$L$82</c15:sqref>
                        </c15:fullRef>
                        <c15:formulaRef>
                          <c15:sqref>A!$C$82:$I$82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45A-4438-AB75-E9127AEBC8F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A!$C$83:$L$83</c15:sqref>
                        </c15:fullRef>
                        <c15:formulaRef>
                          <c15:sqref>A!$C$83:$I$83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45A-4438-AB75-E9127AEBC8F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A!$C$84:$L$84</c15:sqref>
                        </c15:fullRef>
                        <c15:formulaRef>
                          <c15:sqref>A!$C$84:$I$84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45A-4438-AB75-E9127AEBC8F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A!$C$85:$L$85</c15:sqref>
                        </c15:fullRef>
                        <c15:formulaRef>
                          <c15:sqref>A!$C$85:$I$85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45A-4438-AB75-E9127AEBC8F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A!$C$86:$L$86</c15:sqref>
                        </c15:fullRef>
                        <c15:formulaRef>
                          <c15:sqref>A!$C$86:$I$86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45A-4438-AB75-E9127AEBC8F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A!$C$87:$L$87</c15:sqref>
                        </c15:fullRef>
                        <c15:formulaRef>
                          <c15:sqref>A!$C$87:$I$87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45A-4438-AB75-E9127AEBC8F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A!$C$88:$L$88</c15:sqref>
                        </c15:fullRef>
                        <c15:formulaRef>
                          <c15:sqref>A!$C$88:$I$88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45A-4438-AB75-E9127AEBC8F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A!$C$89:$L$89</c15:sqref>
                        </c15:fullRef>
                        <c15:formulaRef>
                          <c15:sqref>A!$C$89:$I$89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45A-4438-AB75-E9127AEBC8F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A!$C$90:$L$90</c15:sqref>
                        </c15:fullRef>
                        <c15:formulaRef>
                          <c15:sqref>A!$C$90:$I$90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45A-4438-AB75-E9127AEBC8F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A!$C$91:$L$91</c15:sqref>
                        </c15:fullRef>
                        <c15:formulaRef>
                          <c15:sqref>A!$C$91:$I$91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45A-4438-AB75-E9127AEBC8F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A!$C$92:$L$92</c15:sqref>
                        </c15:fullRef>
                        <c15:formulaRef>
                          <c15:sqref>A!$C$92:$I$92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45A-4438-AB75-E9127AEBC8F5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A!$C$93:$L$93</c15:sqref>
                        </c15:fullRef>
                        <c15:formulaRef>
                          <c15:sqref>A!$C$93:$I$93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45A-4438-AB75-E9127AEBC8F5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A!$C$94:$L$94</c15:sqref>
                        </c15:fullRef>
                        <c15:formulaRef>
                          <c15:sqref>A!$C$94:$I$94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45A-4438-AB75-E9127AEBC8F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A!$C$95:$L$95</c15:sqref>
                        </c15:fullRef>
                        <c15:formulaRef>
                          <c15:sqref>A!$C$95:$I$95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45A-4438-AB75-E9127AEBC8F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A!$C$96:$L$96</c15:sqref>
                        </c15:fullRef>
                        <c15:formulaRef>
                          <c15:sqref>A!$C$96:$I$96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45A-4438-AB75-E9127AEBC8F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A!$C$97:$L$97</c15:sqref>
                        </c15:fullRef>
                        <c15:formulaRef>
                          <c15:sqref>A!$C$97:$I$97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45A-4438-AB75-E9127AEBC8F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A!$C$98:$L$98</c15:sqref>
                        </c15:fullRef>
                        <c15:formulaRef>
                          <c15:sqref>A!$C$98:$I$98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345A-4438-AB75-E9127AEBC8F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A!$C$99:$L$99</c15:sqref>
                        </c15:fullRef>
                        <c15:formulaRef>
                          <c15:sqref>A!$C$99:$I$99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45A-4438-AB75-E9127AEBC8F5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A!$C$100:$L$100</c15:sqref>
                        </c15:fullRef>
                        <c15:formulaRef>
                          <c15:sqref>A!$C$100:$I$100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345A-4438-AB75-E9127AEBC8F5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A!$C$71:$L$71</c15:sqref>
                        </c15:fullRef>
                        <c15:formulaRef>
                          <c15:sqref>A!$C$71:$I$71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A!$C$101:$L$101</c15:sqref>
                        </c15:fullRef>
                        <c15:formulaRef>
                          <c15:sqref>A!$C$101:$I$101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345A-4438-AB75-E9127AEBC8F5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B!$B$72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B!$C$71:$L$71</c15:sqref>
                  </c15:fullRef>
                </c:ext>
              </c:extLst>
              <c:f>B!$C$71:$I$71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B!$C$72:$L$72</c15:sqref>
                  </c15:fullRef>
                </c:ext>
              </c:extLst>
              <c:f>B!$C$72:$I$72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5-4C4E-8C57-7D2C65C6AF5F}"/>
            </c:ext>
          </c:extLst>
        </c:ser>
        <c:ser>
          <c:idx val="1"/>
          <c:order val="1"/>
          <c:tx>
            <c:strRef>
              <c:f>B!$B$73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B!$C$71:$L$71</c15:sqref>
                  </c15:fullRef>
                </c:ext>
              </c:extLst>
              <c:f>B!$C$71:$I$71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B!$C$73:$L$73</c15:sqref>
                  </c15:fullRef>
                </c:ext>
              </c:extLst>
              <c:f>B!$C$73:$I$73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5-4C4E-8C57-7D2C65C6AF5F}"/>
            </c:ext>
          </c:extLst>
        </c:ser>
        <c:ser>
          <c:idx val="2"/>
          <c:order val="2"/>
          <c:tx>
            <c:strRef>
              <c:f>B!$B$74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B!$C$71:$L$71</c15:sqref>
                  </c15:fullRef>
                </c:ext>
              </c:extLst>
              <c:f>B!$C$71:$I$71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B!$C$74:$L$74</c15:sqref>
                  </c15:fullRef>
                </c:ext>
              </c:extLst>
              <c:f>B!$C$74:$I$74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9E5-4C4E-8C57-7D2C65C6AF5F}"/>
            </c:ext>
          </c:extLst>
        </c:ser>
        <c:ser>
          <c:idx val="30"/>
          <c:order val="30"/>
          <c:tx>
            <c:strRef>
              <c:f>B!$B$103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B!$C$71:$L$71</c15:sqref>
                  </c15:fullRef>
                </c:ext>
              </c:extLst>
              <c:f>B!$C$71:$I$71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B!$C$103:$L$103</c15:sqref>
                  </c15:fullRef>
                </c:ext>
              </c:extLst>
              <c:f>B!$C$103:$I$103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5-4C4E-8C57-7D2C65C6AF5F}"/>
            </c:ext>
          </c:extLst>
        </c:ser>
        <c:ser>
          <c:idx val="31"/>
          <c:order val="31"/>
          <c:tx>
            <c:strRef>
              <c:f>B!$B$104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B!$C$71:$L$71</c15:sqref>
                  </c15:fullRef>
                </c:ext>
              </c:extLst>
              <c:f>B!$C$71:$I$71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B!$C$104:$L$104</c15:sqref>
                  </c15:fullRef>
                </c:ext>
              </c:extLst>
              <c:f>B!$C$104:$I$104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5-4C4E-8C57-7D2C65C6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B!$B$75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B!$C$75:$L$75</c15:sqref>
                        </c15:fullRef>
                        <c15:formulaRef>
                          <c15:sqref>B!$C$75:$I$75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9E5-4C4E-8C57-7D2C65C6AF5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B!$C$76:$L$76</c15:sqref>
                        </c15:fullRef>
                        <c15:formulaRef>
                          <c15:sqref>B!$C$76:$I$76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E5-4C4E-8C57-7D2C65C6AF5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B!$C$77:$L$77</c15:sqref>
                        </c15:fullRef>
                        <c15:formulaRef>
                          <c15:sqref>B!$C$77:$I$77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E5-4C4E-8C57-7D2C65C6AF5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B!$C$78:$L$78</c15:sqref>
                        </c15:fullRef>
                        <c15:formulaRef>
                          <c15:sqref>B!$C$78:$I$78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9E5-4C4E-8C57-7D2C65C6AF5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B!$C$79:$L$79</c15:sqref>
                        </c15:fullRef>
                        <c15:formulaRef>
                          <c15:sqref>B!$C$79:$I$79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E5-4C4E-8C57-7D2C65C6AF5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B!$C$80:$L$80</c15:sqref>
                        </c15:fullRef>
                        <c15:formulaRef>
                          <c15:sqref>B!$C$80:$I$80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9E5-4C4E-8C57-7D2C65C6AF5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B!$C$81:$L$81</c15:sqref>
                        </c15:fullRef>
                        <c15:formulaRef>
                          <c15:sqref>B!$C$81:$I$81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9E5-4C4E-8C57-7D2C65C6AF5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B!$C$82:$L$82</c15:sqref>
                        </c15:fullRef>
                        <c15:formulaRef>
                          <c15:sqref>B!$C$82:$I$82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9E5-4C4E-8C57-7D2C65C6AF5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B!$C$83:$L$83</c15:sqref>
                        </c15:fullRef>
                        <c15:formulaRef>
                          <c15:sqref>B!$C$83:$I$83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E5-4C4E-8C57-7D2C65C6AF5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B!$C$84:$L$84</c15:sqref>
                        </c15:fullRef>
                        <c15:formulaRef>
                          <c15:sqref>B!$C$84:$I$84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9E5-4C4E-8C57-7D2C65C6AF5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B!$C$85:$L$85</c15:sqref>
                        </c15:fullRef>
                        <c15:formulaRef>
                          <c15:sqref>B!$C$85:$I$85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9E5-4C4E-8C57-7D2C65C6AF5F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B!$C$86:$L$86</c15:sqref>
                        </c15:fullRef>
                        <c15:formulaRef>
                          <c15:sqref>B!$C$86:$I$86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9E5-4C4E-8C57-7D2C65C6AF5F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B!$C$87:$L$87</c15:sqref>
                        </c15:fullRef>
                        <c15:formulaRef>
                          <c15:sqref>B!$C$87:$I$87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9E5-4C4E-8C57-7D2C65C6AF5F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B!$C$88:$L$88</c15:sqref>
                        </c15:fullRef>
                        <c15:formulaRef>
                          <c15:sqref>B!$C$88:$I$88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9E5-4C4E-8C57-7D2C65C6AF5F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B!$C$89:$L$89</c15:sqref>
                        </c15:fullRef>
                        <c15:formulaRef>
                          <c15:sqref>B!$C$89:$I$89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9E5-4C4E-8C57-7D2C65C6AF5F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B!$C$90:$L$90</c15:sqref>
                        </c15:fullRef>
                        <c15:formulaRef>
                          <c15:sqref>B!$C$90:$I$90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9E5-4C4E-8C57-7D2C65C6AF5F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B!$C$91:$L$91</c15:sqref>
                        </c15:fullRef>
                        <c15:formulaRef>
                          <c15:sqref>B!$C$91:$I$91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9E5-4C4E-8C57-7D2C65C6AF5F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B!$C$92:$L$92</c15:sqref>
                        </c15:fullRef>
                        <c15:formulaRef>
                          <c15:sqref>B!$C$92:$I$92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9E5-4C4E-8C57-7D2C65C6AF5F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B!$C$93:$L$93</c15:sqref>
                        </c15:fullRef>
                        <c15:formulaRef>
                          <c15:sqref>B!$C$93:$I$93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9E5-4C4E-8C57-7D2C65C6AF5F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B!$C$94:$L$94</c15:sqref>
                        </c15:fullRef>
                        <c15:formulaRef>
                          <c15:sqref>B!$C$94:$I$94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9E5-4C4E-8C57-7D2C65C6AF5F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B!$C$95:$L$95</c15:sqref>
                        </c15:fullRef>
                        <c15:formulaRef>
                          <c15:sqref>B!$C$95:$I$95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9E5-4C4E-8C57-7D2C65C6AF5F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B!$C$96:$L$96</c15:sqref>
                        </c15:fullRef>
                        <c15:formulaRef>
                          <c15:sqref>B!$C$96:$I$96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9E5-4C4E-8C57-7D2C65C6AF5F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B!$C$97:$L$97</c15:sqref>
                        </c15:fullRef>
                        <c15:formulaRef>
                          <c15:sqref>B!$C$97:$I$97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9E5-4C4E-8C57-7D2C65C6AF5F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B!$C$98:$L$98</c15:sqref>
                        </c15:fullRef>
                        <c15:formulaRef>
                          <c15:sqref>B!$C$98:$I$98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9E5-4C4E-8C57-7D2C65C6AF5F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B!$C$99:$L$99</c15:sqref>
                        </c15:fullRef>
                        <c15:formulaRef>
                          <c15:sqref>B!$C$99:$I$99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9E5-4C4E-8C57-7D2C65C6AF5F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B!$C$100:$L$100</c15:sqref>
                        </c15:fullRef>
                        <c15:formulaRef>
                          <c15:sqref>B!$C$100:$I$100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9E5-4C4E-8C57-7D2C65C6AF5F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B!$C$71:$L$71</c15:sqref>
                        </c15:fullRef>
                        <c15:formulaRef>
                          <c15:sqref>B!$C$71:$I$71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B!$C$101:$L$101</c15:sqref>
                        </c15:fullRef>
                        <c15:formulaRef>
                          <c15:sqref>B!$C$101:$I$101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9E5-4C4E-8C57-7D2C65C6AF5F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기타!$B$72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기타!$C$71:$L$71</c15:sqref>
                  </c15:fullRef>
                </c:ext>
              </c:extLst>
              <c:f>기타!$C$71:$I$71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기타!$C$72:$L$72</c15:sqref>
                  </c15:fullRef>
                </c:ext>
              </c:extLst>
              <c:f>기타!$C$72:$I$72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E-44FF-B705-1C7769E52D0E}"/>
            </c:ext>
          </c:extLst>
        </c:ser>
        <c:ser>
          <c:idx val="1"/>
          <c:order val="1"/>
          <c:tx>
            <c:strRef>
              <c:f>기타!$B$73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기타!$C$71:$L$71</c15:sqref>
                  </c15:fullRef>
                </c:ext>
              </c:extLst>
              <c:f>기타!$C$71:$I$71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기타!$C$73:$L$73</c15:sqref>
                  </c15:fullRef>
                </c:ext>
              </c:extLst>
              <c:f>기타!$C$73:$I$73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E-44FF-B705-1C7769E52D0E}"/>
            </c:ext>
          </c:extLst>
        </c:ser>
        <c:ser>
          <c:idx val="2"/>
          <c:order val="2"/>
          <c:tx>
            <c:strRef>
              <c:f>기타!$B$74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기타!$C$71:$L$71</c15:sqref>
                  </c15:fullRef>
                </c:ext>
              </c:extLst>
              <c:f>기타!$C$71:$I$71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기타!$C$74:$L$74</c15:sqref>
                  </c15:fullRef>
                </c:ext>
              </c:extLst>
              <c:f>기타!$C$74:$I$74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8CE-44FF-B705-1C7769E52D0E}"/>
            </c:ext>
          </c:extLst>
        </c:ser>
        <c:ser>
          <c:idx val="30"/>
          <c:order val="30"/>
          <c:tx>
            <c:strRef>
              <c:f>기타!$B$103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기타!$C$71:$L$71</c15:sqref>
                  </c15:fullRef>
                </c:ext>
              </c:extLst>
              <c:f>기타!$C$71:$I$71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기타!$C$103:$L$103</c15:sqref>
                  </c15:fullRef>
                </c:ext>
              </c:extLst>
              <c:f>기타!$C$103:$I$103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E-44FF-B705-1C7769E52D0E}"/>
            </c:ext>
          </c:extLst>
        </c:ser>
        <c:ser>
          <c:idx val="31"/>
          <c:order val="31"/>
          <c:tx>
            <c:strRef>
              <c:f>기타!$B$104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기타!$C$71:$L$71</c15:sqref>
                  </c15:fullRef>
                </c:ext>
              </c:extLst>
              <c:f>기타!$C$71:$I$71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기타!$C$104:$L$104</c15:sqref>
                  </c15:fullRef>
                </c:ext>
              </c:extLst>
              <c:f>기타!$C$104:$I$104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E-44FF-B705-1C7769E5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기타!$B$75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기타!$C$75:$L$75</c15:sqref>
                        </c15:fullRef>
                        <c15:formulaRef>
                          <c15:sqref>기타!$C$75:$I$75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8CE-44FF-B705-1C7769E52D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기타!$C$76:$L$76</c15:sqref>
                        </c15:fullRef>
                        <c15:formulaRef>
                          <c15:sqref>기타!$C$76:$I$76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CE-44FF-B705-1C7769E52D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기타!$C$77:$L$77</c15:sqref>
                        </c15:fullRef>
                        <c15:formulaRef>
                          <c15:sqref>기타!$C$77:$I$77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CE-44FF-B705-1C7769E52D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기타!$C$78:$L$78</c15:sqref>
                        </c15:fullRef>
                        <c15:formulaRef>
                          <c15:sqref>기타!$C$78:$I$78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CE-44FF-B705-1C7769E52D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기타!$C$79:$L$79</c15:sqref>
                        </c15:fullRef>
                        <c15:formulaRef>
                          <c15:sqref>기타!$C$79:$I$79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CE-44FF-B705-1C7769E52D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기타!$C$80:$L$80</c15:sqref>
                        </c15:fullRef>
                        <c15:formulaRef>
                          <c15:sqref>기타!$C$80:$I$80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CE-44FF-B705-1C7769E52D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기타!$C$81:$L$81</c15:sqref>
                        </c15:fullRef>
                        <c15:formulaRef>
                          <c15:sqref>기타!$C$81:$I$81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CE-44FF-B705-1C7769E52D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기타!$C$82:$L$82</c15:sqref>
                        </c15:fullRef>
                        <c15:formulaRef>
                          <c15:sqref>기타!$C$82:$I$82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CE-44FF-B705-1C7769E52D0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기타!$C$83:$L$83</c15:sqref>
                        </c15:fullRef>
                        <c15:formulaRef>
                          <c15:sqref>기타!$C$83:$I$83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CE-44FF-B705-1C7769E52D0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기타!$C$84:$L$84</c15:sqref>
                        </c15:fullRef>
                        <c15:formulaRef>
                          <c15:sqref>기타!$C$84:$I$84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CE-44FF-B705-1C7769E52D0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기타!$C$85:$L$85</c15:sqref>
                        </c15:fullRef>
                        <c15:formulaRef>
                          <c15:sqref>기타!$C$85:$I$85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CE-44FF-B705-1C7769E52D0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기타!$C$86:$L$86</c15:sqref>
                        </c15:fullRef>
                        <c15:formulaRef>
                          <c15:sqref>기타!$C$86:$I$86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CE-44FF-B705-1C7769E52D0E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기타!$C$87:$L$87</c15:sqref>
                        </c15:fullRef>
                        <c15:formulaRef>
                          <c15:sqref>기타!$C$87:$I$87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CE-44FF-B705-1C7769E52D0E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기타!$C$88:$L$88</c15:sqref>
                        </c15:fullRef>
                        <c15:formulaRef>
                          <c15:sqref>기타!$C$88:$I$88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CE-44FF-B705-1C7769E52D0E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기타!$C$89:$L$89</c15:sqref>
                        </c15:fullRef>
                        <c15:formulaRef>
                          <c15:sqref>기타!$C$89:$I$89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8CE-44FF-B705-1C7769E52D0E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기타!$C$90:$L$90</c15:sqref>
                        </c15:fullRef>
                        <c15:formulaRef>
                          <c15:sqref>기타!$C$90:$I$90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8CE-44FF-B705-1C7769E52D0E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기타!$C$91:$L$91</c15:sqref>
                        </c15:fullRef>
                        <c15:formulaRef>
                          <c15:sqref>기타!$C$91:$I$91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8CE-44FF-B705-1C7769E52D0E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기타!$C$92:$L$92</c15:sqref>
                        </c15:fullRef>
                        <c15:formulaRef>
                          <c15:sqref>기타!$C$92:$I$92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8CE-44FF-B705-1C7769E52D0E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기타!$C$93:$L$93</c15:sqref>
                        </c15:fullRef>
                        <c15:formulaRef>
                          <c15:sqref>기타!$C$93:$I$93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8CE-44FF-B705-1C7769E52D0E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기타!$C$94:$L$94</c15:sqref>
                        </c15:fullRef>
                        <c15:formulaRef>
                          <c15:sqref>기타!$C$94:$I$94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8CE-44FF-B705-1C7769E52D0E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기타!$C$95:$L$95</c15:sqref>
                        </c15:fullRef>
                        <c15:formulaRef>
                          <c15:sqref>기타!$C$95:$I$95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8CE-44FF-B705-1C7769E52D0E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기타!$C$96:$L$96</c15:sqref>
                        </c15:fullRef>
                        <c15:formulaRef>
                          <c15:sqref>기타!$C$96:$I$96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8CE-44FF-B705-1C7769E52D0E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기타!$C$97:$L$97</c15:sqref>
                        </c15:fullRef>
                        <c15:formulaRef>
                          <c15:sqref>기타!$C$97:$I$97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8CE-44FF-B705-1C7769E52D0E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기타!$C$98:$L$98</c15:sqref>
                        </c15:fullRef>
                        <c15:formulaRef>
                          <c15:sqref>기타!$C$98:$I$98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8CE-44FF-B705-1C7769E52D0E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기타!$C$99:$L$99</c15:sqref>
                        </c15:fullRef>
                        <c15:formulaRef>
                          <c15:sqref>기타!$C$99:$I$99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8CE-44FF-B705-1C7769E52D0E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기타!$C$100:$L$100</c15:sqref>
                        </c15:fullRef>
                        <c15:formulaRef>
                          <c15:sqref>기타!$C$100:$I$100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8CE-44FF-B705-1C7769E52D0E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기타!$B$101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기타!$C$71:$L$71</c15:sqref>
                        </c15:fullRef>
                        <c15:formulaRef>
                          <c15:sqref>기타!$C$71:$I$71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기타!$C$101:$L$101</c15:sqref>
                        </c15:fullRef>
                        <c15:formulaRef>
                          <c15:sqref>기타!$C$101:$I$101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8CE-44FF-B705-1C7769E52D0E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1781608597079E-2"/>
          <c:y val="3.1179138321995464E-2"/>
          <c:w val="0.81794474196261302"/>
          <c:h val="0.82854799400074985"/>
        </c:manualLayout>
      </c:layout>
      <c:lineChart>
        <c:grouping val="standard"/>
        <c:varyColors val="0"/>
        <c:ser>
          <c:idx val="0"/>
          <c:order val="0"/>
          <c:tx>
            <c:strRef>
              <c:f>총!$B$72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총!$C$71:$L$71</c15:sqref>
                  </c15:fullRef>
                </c:ext>
              </c:extLst>
              <c:f>총!$C$71:$I$71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총!$C$72:$L$72</c15:sqref>
                  </c15:fullRef>
                </c:ext>
              </c:extLst>
              <c:f>총!$C$72:$I$72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0-4586-9A29-593F3F1B74A1}"/>
            </c:ext>
          </c:extLst>
        </c:ser>
        <c:ser>
          <c:idx val="1"/>
          <c:order val="1"/>
          <c:tx>
            <c:strRef>
              <c:f>총!$B$73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총!$C$71:$L$71</c15:sqref>
                  </c15:fullRef>
                </c:ext>
              </c:extLst>
              <c:f>총!$C$71:$I$71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총!$C$73:$L$73</c15:sqref>
                  </c15:fullRef>
                </c:ext>
              </c:extLst>
              <c:f>총!$C$73:$I$73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0-4586-9A29-593F3F1B74A1}"/>
            </c:ext>
          </c:extLst>
        </c:ser>
        <c:ser>
          <c:idx val="2"/>
          <c:order val="2"/>
          <c:tx>
            <c:strRef>
              <c:f>총!$B$74</c:f>
              <c:strCache>
                <c:ptCount val="1"/>
                <c:pt idx="0">
                  <c:v>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총!$C$71:$L$71</c15:sqref>
                  </c15:fullRef>
                </c:ext>
              </c:extLst>
              <c:f>총!$C$71:$I$71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총!$C$74:$L$74</c15:sqref>
                  </c15:fullRef>
                </c:ext>
              </c:extLst>
              <c:f>총!$C$74:$I$74</c:f>
              <c:numCache>
                <c:formatCode>0.0_);[Red]\(0.0\)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B80-4586-9A29-593F3F1B74A1}"/>
            </c:ext>
          </c:extLst>
        </c:ser>
        <c:ser>
          <c:idx val="30"/>
          <c:order val="30"/>
          <c:tx>
            <c:strRef>
              <c:f>총!$B$103</c:f>
              <c:strCache>
                <c:ptCount val="1"/>
                <c:pt idx="0">
                  <c:v>하한관리
기준(LCL)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총!$C$71:$L$71</c15:sqref>
                  </c15:fullRef>
                </c:ext>
              </c:extLst>
              <c:f>총!$C$71:$I$71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총!$C$103:$L$103</c15:sqref>
                  </c15:fullRef>
                </c:ext>
              </c:extLst>
              <c:f>총!$C$103:$I$103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80-4586-9A29-593F3F1B74A1}"/>
            </c:ext>
          </c:extLst>
        </c:ser>
        <c:ser>
          <c:idx val="31"/>
          <c:order val="31"/>
          <c:tx>
            <c:strRef>
              <c:f>총!$B$104</c:f>
              <c:strCache>
                <c:ptCount val="1"/>
                <c:pt idx="0">
                  <c:v>상한관리
기준(UCL)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총!$C$71:$L$71</c15:sqref>
                  </c15:fullRef>
                </c:ext>
              </c:extLst>
              <c:f>총!$C$71:$I$71</c:f>
              <c:strCache>
                <c:ptCount val="7"/>
                <c:pt idx="0">
                  <c:v>Initial</c:v>
                </c:pt>
                <c:pt idx="1">
                  <c:v>3M</c:v>
                </c:pt>
                <c:pt idx="2">
                  <c:v>6M</c:v>
                </c:pt>
                <c:pt idx="3">
                  <c:v>9M</c:v>
                </c:pt>
                <c:pt idx="4">
                  <c:v>12M</c:v>
                </c:pt>
                <c:pt idx="5">
                  <c:v>18M</c:v>
                </c:pt>
                <c:pt idx="6">
                  <c:v>24M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총!$C$104:$L$104</c15:sqref>
                  </c15:fullRef>
                </c:ext>
              </c:extLst>
              <c:f>총!$C$104:$I$104</c:f>
              <c:numCache>
                <c:formatCode>0;\-0;;@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80-4586-9A29-593F3F1B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82608"/>
        <c:axId val="10860834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총!$B$75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총!$C$75:$L$75</c15:sqref>
                        </c15:fullRef>
                        <c15:formulaRef>
                          <c15:sqref>총!$C$75:$I$75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B80-4586-9A29-593F3F1B74A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총!$B$76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총!$C$76:$L$76</c15:sqref>
                        </c15:fullRef>
                        <c15:formulaRef>
                          <c15:sqref>총!$C$76:$I$76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80-4586-9A29-593F3F1B74A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총!$B$77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총!$C$77:$L$77</c15:sqref>
                        </c15:fullRef>
                        <c15:formulaRef>
                          <c15:sqref>총!$C$77:$I$77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80-4586-9A29-593F3F1B74A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총!$B$78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총!$C$78:$L$78</c15:sqref>
                        </c15:fullRef>
                        <c15:formulaRef>
                          <c15:sqref>총!$C$78:$I$78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80-4586-9A29-593F3F1B74A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총!$B$79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총!$C$79:$L$79</c15:sqref>
                        </c15:fullRef>
                        <c15:formulaRef>
                          <c15:sqref>총!$C$79:$I$79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80-4586-9A29-593F3F1B74A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총!$C$80:$L$80</c15:sqref>
                        </c15:fullRef>
                        <c15:formulaRef>
                          <c15:sqref>총!$C$80:$I$80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80-4586-9A29-593F3F1B74A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총!$C$81:$L$81</c15:sqref>
                        </c15:fullRef>
                        <c15:formulaRef>
                          <c15:sqref>총!$C$81:$I$81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B80-4586-9A29-593F3F1B74A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총!$C$82:$L$82</c15:sqref>
                        </c15:fullRef>
                        <c15:formulaRef>
                          <c15:sqref>총!$C$82:$I$82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B80-4586-9A29-593F3F1B74A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총!$C$83:$L$83</c15:sqref>
                        </c15:fullRef>
                        <c15:formulaRef>
                          <c15:sqref>총!$C$83:$I$83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B80-4586-9A29-593F3F1B74A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총!$C$84:$L$84</c15:sqref>
                        </c15:fullRef>
                        <c15:formulaRef>
                          <c15:sqref>총!$C$84:$I$84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B80-4586-9A29-593F3F1B74A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총!$C$85:$L$85</c15:sqref>
                        </c15:fullRef>
                        <c15:formulaRef>
                          <c15:sqref>총!$C$85:$I$85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B80-4586-9A29-593F3F1B74A1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총!$C$86:$L$86</c15:sqref>
                        </c15:fullRef>
                        <c15:formulaRef>
                          <c15:sqref>총!$C$86:$I$86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B80-4586-9A29-593F3F1B74A1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총!$C$87:$L$87</c15:sqref>
                        </c15:fullRef>
                        <c15:formulaRef>
                          <c15:sqref>총!$C$87:$I$87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B80-4586-9A29-593F3F1B74A1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총!$C$88:$L$88</c15:sqref>
                        </c15:fullRef>
                        <c15:formulaRef>
                          <c15:sqref>총!$C$88:$I$88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B80-4586-9A29-593F3F1B74A1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총!$B$89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총!$C$89:$L$89</c15:sqref>
                        </c15:fullRef>
                        <c15:formulaRef>
                          <c15:sqref>총!$C$89:$I$89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B80-4586-9A29-593F3F1B74A1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총!$C$90:$L$90</c15:sqref>
                        </c15:fullRef>
                        <c15:formulaRef>
                          <c15:sqref>총!$C$90:$I$90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B80-4586-9A29-593F3F1B74A1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총!$B$91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총!$C$91:$L$91</c15:sqref>
                        </c15:fullRef>
                        <c15:formulaRef>
                          <c15:sqref>총!$C$91:$I$91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B80-4586-9A29-593F3F1B74A1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총!$B$92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총!$C$92:$L$92</c15:sqref>
                        </c15:fullRef>
                        <c15:formulaRef>
                          <c15:sqref>총!$C$92:$I$92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B80-4586-9A29-593F3F1B74A1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총!$B$93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총!$C$93:$L$93</c15:sqref>
                        </c15:fullRef>
                        <c15:formulaRef>
                          <c15:sqref>총!$C$93:$I$93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B80-4586-9A29-593F3F1B74A1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총!$C$94:$L$94</c15:sqref>
                        </c15:fullRef>
                        <c15:formulaRef>
                          <c15:sqref>총!$C$94:$I$94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B80-4586-9A29-593F3F1B74A1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총!$B$95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총!$C$95:$L$95</c15:sqref>
                        </c15:fullRef>
                        <c15:formulaRef>
                          <c15:sqref>총!$C$95:$I$95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B80-4586-9A29-593F3F1B74A1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총!$B$96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총!$C$96:$L$96</c15:sqref>
                        </c15:fullRef>
                        <c15:formulaRef>
                          <c15:sqref>총!$C$96:$I$96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B80-4586-9A29-593F3F1B74A1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총!$B$97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총!$C$97:$L$97</c15:sqref>
                        </c15:fullRef>
                        <c15:formulaRef>
                          <c15:sqref>총!$C$97:$I$97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B80-4586-9A29-593F3F1B74A1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총!$B$98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총!$C$98:$L$98</c15:sqref>
                        </c15:fullRef>
                        <c15:formulaRef>
                          <c15:sqref>총!$C$98:$I$98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B80-4586-9A29-593F3F1B74A1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총!$B$99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총!$C$99:$L$99</c15:sqref>
                        </c15:fullRef>
                        <c15:formulaRef>
                          <c15:sqref>총!$C$99:$I$99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B80-4586-9A29-593F3F1B74A1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총!$B$100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총!$C$100:$L$100</c15:sqref>
                        </c15:fullRef>
                        <c15:formulaRef>
                          <c15:sqref>총!$C$100:$I$100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B80-4586-9A29-593F3F1B74A1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총!$B$101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총!$C$71:$L$71</c15:sqref>
                        </c15:fullRef>
                        <c15:formulaRef>
                          <c15:sqref>총!$C$71:$I$71</c15:sqref>
                        </c15:formulaRef>
                      </c:ext>
                    </c:extLst>
                    <c:strCache>
                      <c:ptCount val="7"/>
                      <c:pt idx="0">
                        <c:v>Initial</c:v>
                      </c:pt>
                      <c:pt idx="1">
                        <c:v>3M</c:v>
                      </c:pt>
                      <c:pt idx="2">
                        <c:v>6M</c:v>
                      </c:pt>
                      <c:pt idx="3">
                        <c:v>9M</c:v>
                      </c:pt>
                      <c:pt idx="4">
                        <c:v>12M</c:v>
                      </c:pt>
                      <c:pt idx="5">
                        <c:v>18M</c:v>
                      </c:pt>
                      <c:pt idx="6">
                        <c:v>24M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총!$C$101:$L$101</c15:sqref>
                        </c15:fullRef>
                        <c15:formulaRef>
                          <c15:sqref>총!$C$101:$I$101</c15:sqref>
                        </c15:formulaRef>
                      </c:ext>
                    </c:extLst>
                    <c:numCache>
                      <c:formatCode>0.0_);[Red]\(0.0\)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B80-4586-9A29-593F3F1B74A1}"/>
                  </c:ext>
                </c:extLst>
              </c15:ser>
            </c15:filteredLineSeries>
          </c:ext>
        </c:extLst>
      </c:lineChart>
      <c:catAx>
        <c:axId val="10860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3440"/>
        <c:crosses val="autoZero"/>
        <c:auto val="1"/>
        <c:lblAlgn val="ctr"/>
        <c:lblOffset val="100"/>
        <c:noMultiLvlLbl val="0"/>
      </c:catAx>
      <c:valAx>
        <c:axId val="1086083440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시험 결과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(Test Result)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0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534342714388"/>
          <c:y val="1.614139721896465E-2"/>
          <c:w val="0.13866034162485705"/>
          <c:h val="0.96683732618529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A47F58E-2A51-4BDE-A871-FF2BF1A8B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47625</xdr:colOff>
      <xdr:row>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D2A5666-98E7-4715-9DD4-F2D3A256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3368327-92FC-407D-81D9-C260D0D8B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A45EC0-3350-430B-90D4-E3B3982C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68E7A14-A0D6-4B7C-800F-C1317A4AD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3E9FCE-2156-4F28-A884-641C8A050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977220-03EF-415E-AD41-06D05CC98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89722C-84BC-458D-92B9-94CE58D4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C850CCE-9621-44B5-8B23-E5CDAC560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588002-9D7E-4FB0-92F1-C9F8A7B3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B11CA03-FA86-4A67-A0BD-9E00FA0C4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FFB0B5-E8B5-481B-948F-FC6142C0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40005</xdr:rowOff>
    </xdr:from>
    <xdr:to>
      <xdr:col>12</xdr:col>
      <xdr:colOff>1133475</xdr:colOff>
      <xdr:row>24</xdr:row>
      <xdr:rowOff>139065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74DD75E-FF3D-4F0A-96BC-6A04FDB97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57150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577235-6BBB-4611-B1B3-3B022029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11467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4"/>
  <sheetViews>
    <sheetView view="pageBreakPreview" zoomScaleNormal="100" zoomScaleSheetLayoutView="100" workbookViewId="0">
      <selection activeCell="H4" sqref="H4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3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2" t="s">
        <v>18</v>
      </c>
      <c r="H4" s="13"/>
      <c r="I4" s="2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ht="17.45" customHeight="1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6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6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6" x14ac:dyDescent="0.3">
      <c r="A37" s="24"/>
      <c r="B37" s="24"/>
      <c r="C37" s="3" t="s">
        <v>0</v>
      </c>
      <c r="D37" s="4" t="s">
        <v>1</v>
      </c>
      <c r="E37" s="4" t="s">
        <v>2</v>
      </c>
      <c r="F37" s="4" t="s">
        <v>3</v>
      </c>
      <c r="G37" s="4" t="s">
        <v>4</v>
      </c>
      <c r="H37" s="4" t="s">
        <v>5</v>
      </c>
      <c r="I37" s="4" t="s">
        <v>6</v>
      </c>
      <c r="J37" s="4" t="s">
        <v>7</v>
      </c>
      <c r="K37" s="4" t="s">
        <v>13</v>
      </c>
      <c r="L37" s="4" t="s">
        <v>12</v>
      </c>
      <c r="P37">
        <v>2021</v>
      </c>
    </row>
    <row r="38" spans="1:16" x14ac:dyDescent="0.3">
      <c r="A38" s="1">
        <v>1</v>
      </c>
      <c r="B38" s="9"/>
      <c r="C38" s="10"/>
      <c r="D38" s="17"/>
      <c r="E38" s="17"/>
      <c r="F38" s="17"/>
      <c r="G38" s="10"/>
      <c r="H38" s="17"/>
      <c r="I38" s="10"/>
      <c r="J38" s="14"/>
      <c r="K38" s="10"/>
      <c r="L38" s="10"/>
      <c r="O38" t="s">
        <v>23</v>
      </c>
      <c r="P38" s="21">
        <f>MAX(C38:I38)</f>
        <v>0</v>
      </c>
    </row>
    <row r="39" spans="1:16" x14ac:dyDescent="0.3">
      <c r="A39" s="1">
        <v>2</v>
      </c>
      <c r="B39" s="9"/>
      <c r="C39" s="10"/>
      <c r="D39" s="14"/>
      <c r="E39" s="14"/>
      <c r="F39" s="14"/>
      <c r="G39" s="10"/>
      <c r="H39" s="17"/>
      <c r="I39" s="14"/>
      <c r="J39" s="10"/>
      <c r="K39" s="10"/>
      <c r="L39" s="10"/>
      <c r="O39" t="s">
        <v>24</v>
      </c>
      <c r="P39" s="21">
        <f>MIN(C38:I38)</f>
        <v>0</v>
      </c>
    </row>
    <row r="40" spans="1:16" x14ac:dyDescent="0.3">
      <c r="A40" s="1">
        <v>3</v>
      </c>
      <c r="B40" s="9"/>
      <c r="C40" s="10"/>
      <c r="D40" s="14"/>
      <c r="E40" s="14"/>
      <c r="F40" s="14"/>
      <c r="G40" s="14"/>
      <c r="H40" s="14"/>
      <c r="I40" s="14"/>
      <c r="J40" s="14"/>
      <c r="K40" s="14"/>
      <c r="L40" s="14"/>
    </row>
    <row r="41" spans="1:16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6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6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6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6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6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6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6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4" t="s">
        <v>15</v>
      </c>
      <c r="C71" s="3" t="s">
        <v>0</v>
      </c>
      <c r="D71" s="4" t="s">
        <v>1</v>
      </c>
      <c r="E71" s="4" t="s">
        <v>2</v>
      </c>
      <c r="F71" s="4" t="s">
        <v>3</v>
      </c>
      <c r="G71" s="4" t="s">
        <v>4</v>
      </c>
      <c r="H71" s="4" t="s">
        <v>5</v>
      </c>
      <c r="I71" s="4" t="s">
        <v>6</v>
      </c>
      <c r="J71" s="4" t="s">
        <v>7</v>
      </c>
      <c r="K71" s="4" t="s">
        <v>13</v>
      </c>
      <c r="L71" s="4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72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ref="C73:L73" si="2">IF(C39=0, NA(), C39)</f>
        <v>#N/A</v>
      </c>
      <c r="D73" s="10" t="e">
        <f t="shared" si="2"/>
        <v>#N/A</v>
      </c>
      <c r="E73" s="10" t="e">
        <f t="shared" si="2"/>
        <v>#N/A</v>
      </c>
      <c r="F73" s="10" t="e">
        <f t="shared" si="2"/>
        <v>#N/A</v>
      </c>
      <c r="G73" s="10" t="e">
        <f t="shared" si="2"/>
        <v>#N/A</v>
      </c>
      <c r="H73" s="10" t="e">
        <f t="shared" si="2"/>
        <v>#N/A</v>
      </c>
      <c r="I73" s="10" t="e">
        <f t="shared" si="2"/>
        <v>#N/A</v>
      </c>
      <c r="J73" s="10" t="e">
        <f t="shared" si="2"/>
        <v>#N/A</v>
      </c>
      <c r="K73" s="10" t="e">
        <f t="shared" si="2"/>
        <v>#N/A</v>
      </c>
      <c r="L73" s="10" t="e">
        <f t="shared" si="2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ref="C74:L74" si="3">IF(C40=0, NA(), C40)</f>
        <v>#N/A</v>
      </c>
      <c r="D74" s="10" t="e">
        <f t="shared" si="3"/>
        <v>#N/A</v>
      </c>
      <c r="E74" s="10" t="e">
        <f t="shared" si="3"/>
        <v>#N/A</v>
      </c>
      <c r="F74" s="10" t="e">
        <f t="shared" si="3"/>
        <v>#N/A</v>
      </c>
      <c r="G74" s="10" t="e">
        <f t="shared" si="3"/>
        <v>#N/A</v>
      </c>
      <c r="H74" s="10" t="e">
        <f t="shared" si="3"/>
        <v>#N/A</v>
      </c>
      <c r="I74" s="10" t="e">
        <f t="shared" si="3"/>
        <v>#N/A</v>
      </c>
      <c r="J74" s="10" t="e">
        <f t="shared" si="3"/>
        <v>#N/A</v>
      </c>
      <c r="K74" s="10" t="e">
        <f t="shared" si="3"/>
        <v>#N/A</v>
      </c>
      <c r="L74" s="10" t="e">
        <f t="shared" si="3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ref="C75:L75" si="4">IF(C41=0, NA(), C41)</f>
        <v>#N/A</v>
      </c>
      <c r="D75" s="10" t="e">
        <f t="shared" si="4"/>
        <v>#N/A</v>
      </c>
      <c r="E75" s="10" t="e">
        <f t="shared" si="4"/>
        <v>#N/A</v>
      </c>
      <c r="F75" s="10" t="e">
        <f t="shared" si="4"/>
        <v>#N/A</v>
      </c>
      <c r="G75" s="10" t="e">
        <f t="shared" si="4"/>
        <v>#N/A</v>
      </c>
      <c r="H75" s="10" t="e">
        <f t="shared" si="4"/>
        <v>#N/A</v>
      </c>
      <c r="I75" s="10" t="e">
        <f t="shared" si="4"/>
        <v>#N/A</v>
      </c>
      <c r="J75" s="10" t="e">
        <f t="shared" si="4"/>
        <v>#N/A</v>
      </c>
      <c r="K75" s="10" t="e">
        <f t="shared" si="4"/>
        <v>#N/A</v>
      </c>
      <c r="L75" s="10" t="e">
        <f t="shared" si="4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ref="C76:L76" si="5">IF(C42=0, NA(), C42)</f>
        <v>#N/A</v>
      </c>
      <c r="D76" s="10" t="e">
        <f t="shared" si="5"/>
        <v>#N/A</v>
      </c>
      <c r="E76" s="10" t="e">
        <f t="shared" si="5"/>
        <v>#N/A</v>
      </c>
      <c r="F76" s="10" t="e">
        <f t="shared" si="5"/>
        <v>#N/A</v>
      </c>
      <c r="G76" s="10" t="e">
        <f t="shared" si="5"/>
        <v>#N/A</v>
      </c>
      <c r="H76" s="10" t="e">
        <f t="shared" si="5"/>
        <v>#N/A</v>
      </c>
      <c r="I76" s="10" t="e">
        <f t="shared" si="5"/>
        <v>#N/A</v>
      </c>
      <c r="J76" s="10" t="e">
        <f t="shared" si="5"/>
        <v>#N/A</v>
      </c>
      <c r="K76" s="10" t="e">
        <f t="shared" si="5"/>
        <v>#N/A</v>
      </c>
      <c r="L76" s="10" t="e">
        <f t="shared" si="5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ref="C77:L77" si="6">IF(C43=0, NA(), C43)</f>
        <v>#N/A</v>
      </c>
      <c r="D77" s="10" t="e">
        <f t="shared" si="6"/>
        <v>#N/A</v>
      </c>
      <c r="E77" s="10" t="e">
        <f t="shared" si="6"/>
        <v>#N/A</v>
      </c>
      <c r="F77" s="10" t="e">
        <f t="shared" si="6"/>
        <v>#N/A</v>
      </c>
      <c r="G77" s="10" t="e">
        <f t="shared" si="6"/>
        <v>#N/A</v>
      </c>
      <c r="H77" s="10" t="e">
        <f t="shared" si="6"/>
        <v>#N/A</v>
      </c>
      <c r="I77" s="10" t="e">
        <f t="shared" si="6"/>
        <v>#N/A</v>
      </c>
      <c r="J77" s="10" t="e">
        <f t="shared" si="6"/>
        <v>#N/A</v>
      </c>
      <c r="K77" s="10" t="e">
        <f t="shared" si="6"/>
        <v>#N/A</v>
      </c>
      <c r="L77" s="10" t="e">
        <f t="shared" si="6"/>
        <v>#N/A</v>
      </c>
    </row>
    <row r="78" spans="1:12" x14ac:dyDescent="0.3">
      <c r="A78" s="1">
        <v>7</v>
      </c>
      <c r="B78" s="9">
        <f>B44</f>
        <v>0</v>
      </c>
      <c r="C78" s="10" t="e">
        <f t="shared" ref="C78:G78" si="7">IF(C44=0, NA(), C44)</f>
        <v>#N/A</v>
      </c>
      <c r="D78" s="10" t="e">
        <f t="shared" si="7"/>
        <v>#N/A</v>
      </c>
      <c r="E78" s="10" t="e">
        <f t="shared" si="7"/>
        <v>#N/A</v>
      </c>
      <c r="F78" s="10" t="e">
        <f t="shared" si="7"/>
        <v>#N/A</v>
      </c>
      <c r="G78" s="10" t="e">
        <f t="shared" si="7"/>
        <v>#N/A</v>
      </c>
      <c r="H78" s="10" t="e">
        <f t="shared" ref="H78:L78" si="8">IF(H45=0, NA(), H45)</f>
        <v>#N/A</v>
      </c>
      <c r="I78" s="10" t="e">
        <f t="shared" si="8"/>
        <v>#N/A</v>
      </c>
      <c r="J78" s="10" t="e">
        <f t="shared" si="8"/>
        <v>#N/A</v>
      </c>
      <c r="K78" s="10" t="e">
        <f t="shared" si="8"/>
        <v>#N/A</v>
      </c>
      <c r="L78" s="10" t="e">
        <f t="shared" si="8"/>
        <v>#N/A</v>
      </c>
    </row>
    <row r="79" spans="1:12" x14ac:dyDescent="0.3">
      <c r="A79" s="1">
        <v>8</v>
      </c>
      <c r="B79" s="9">
        <f>B45</f>
        <v>0</v>
      </c>
      <c r="C79" s="10" t="e">
        <f t="shared" ref="C79:L79" si="9">IF(C45=0, NA(), C45)</f>
        <v>#N/A</v>
      </c>
      <c r="D79" s="10" t="e">
        <f t="shared" si="9"/>
        <v>#N/A</v>
      </c>
      <c r="E79" s="10" t="e">
        <f t="shared" si="9"/>
        <v>#N/A</v>
      </c>
      <c r="F79" s="10" t="e">
        <f t="shared" si="9"/>
        <v>#N/A</v>
      </c>
      <c r="G79" s="10" t="e">
        <f t="shared" si="9"/>
        <v>#N/A</v>
      </c>
      <c r="H79" s="10" t="e">
        <f t="shared" si="9"/>
        <v>#N/A</v>
      </c>
      <c r="I79" s="10" t="e">
        <f t="shared" si="9"/>
        <v>#N/A</v>
      </c>
      <c r="J79" s="10" t="e">
        <f t="shared" si="9"/>
        <v>#N/A</v>
      </c>
      <c r="K79" s="10" t="e">
        <f t="shared" si="9"/>
        <v>#N/A</v>
      </c>
      <c r="L79" s="10" t="e">
        <f t="shared" si="9"/>
        <v>#N/A</v>
      </c>
    </row>
    <row r="80" spans="1:12" x14ac:dyDescent="0.3">
      <c r="A80" s="1">
        <v>9</v>
      </c>
      <c r="B80" s="9">
        <f t="shared" ref="B80:B100" si="10">B47</f>
        <v>0</v>
      </c>
      <c r="C80" s="10" t="e">
        <f t="shared" ref="C80:L80" si="11">IF(C46=0, NA(), C46)</f>
        <v>#N/A</v>
      </c>
      <c r="D80" s="10" t="e">
        <f t="shared" si="11"/>
        <v>#N/A</v>
      </c>
      <c r="E80" s="10" t="e">
        <f t="shared" si="11"/>
        <v>#N/A</v>
      </c>
      <c r="F80" s="10" t="e">
        <f t="shared" si="11"/>
        <v>#N/A</v>
      </c>
      <c r="G80" s="10" t="e">
        <f t="shared" si="11"/>
        <v>#N/A</v>
      </c>
      <c r="H80" s="10" t="e">
        <f t="shared" si="11"/>
        <v>#N/A</v>
      </c>
      <c r="I80" s="10" t="e">
        <f t="shared" si="11"/>
        <v>#N/A</v>
      </c>
      <c r="J80" s="10" t="e">
        <f t="shared" si="11"/>
        <v>#N/A</v>
      </c>
      <c r="K80" s="10" t="e">
        <f t="shared" si="11"/>
        <v>#N/A</v>
      </c>
      <c r="L80" s="10" t="e">
        <f t="shared" si="11"/>
        <v>#N/A</v>
      </c>
    </row>
    <row r="81" spans="1:12" x14ac:dyDescent="0.3">
      <c r="A81" s="1">
        <v>10</v>
      </c>
      <c r="B81" s="9">
        <f t="shared" si="10"/>
        <v>0</v>
      </c>
      <c r="C81" s="10" t="e">
        <f t="shared" ref="C81:L81" si="12">IF(C47=0, NA(), C47)</f>
        <v>#N/A</v>
      </c>
      <c r="D81" s="10" t="e">
        <f t="shared" si="12"/>
        <v>#N/A</v>
      </c>
      <c r="E81" s="10" t="e">
        <f t="shared" si="12"/>
        <v>#N/A</v>
      </c>
      <c r="F81" s="10" t="e">
        <f t="shared" si="12"/>
        <v>#N/A</v>
      </c>
      <c r="G81" s="10" t="e">
        <f t="shared" si="12"/>
        <v>#N/A</v>
      </c>
      <c r="H81" s="10" t="e">
        <f t="shared" si="12"/>
        <v>#N/A</v>
      </c>
      <c r="I81" s="10" t="e">
        <f t="shared" si="12"/>
        <v>#N/A</v>
      </c>
      <c r="J81" s="10" t="e">
        <f t="shared" si="12"/>
        <v>#N/A</v>
      </c>
      <c r="K81" s="10" t="e">
        <f t="shared" si="12"/>
        <v>#N/A</v>
      </c>
      <c r="L81" s="10" t="e">
        <f t="shared" si="12"/>
        <v>#N/A</v>
      </c>
    </row>
    <row r="82" spans="1:12" x14ac:dyDescent="0.3">
      <c r="A82" s="1">
        <v>11</v>
      </c>
      <c r="B82" s="9">
        <f t="shared" si="10"/>
        <v>0</v>
      </c>
      <c r="C82" s="10" t="e">
        <f t="shared" ref="C82:G82" si="13">IF(C48=0, NA(), C48)</f>
        <v>#N/A</v>
      </c>
      <c r="D82" s="10" t="e">
        <f t="shared" si="13"/>
        <v>#N/A</v>
      </c>
      <c r="E82" s="10" t="e">
        <f t="shared" si="13"/>
        <v>#N/A</v>
      </c>
      <c r="F82" s="10" t="e">
        <f t="shared" si="13"/>
        <v>#N/A</v>
      </c>
      <c r="G82" s="10" t="e">
        <f t="shared" si="13"/>
        <v>#N/A</v>
      </c>
      <c r="H82" s="10" t="e">
        <f t="shared" ref="H82:L82" si="14">IF(H49=0, NA(), H49)</f>
        <v>#N/A</v>
      </c>
      <c r="I82" s="10" t="e">
        <f t="shared" si="14"/>
        <v>#N/A</v>
      </c>
      <c r="J82" s="10" t="e">
        <f t="shared" si="14"/>
        <v>#N/A</v>
      </c>
      <c r="K82" s="10" t="e">
        <f t="shared" si="14"/>
        <v>#N/A</v>
      </c>
      <c r="L82" s="10" t="e">
        <f t="shared" si="14"/>
        <v>#N/A</v>
      </c>
    </row>
    <row r="83" spans="1:12" x14ac:dyDescent="0.3">
      <c r="A83" s="1">
        <v>12</v>
      </c>
      <c r="B83" s="9">
        <f t="shared" si="10"/>
        <v>0</v>
      </c>
      <c r="C83" s="10" t="e">
        <f t="shared" ref="C83" si="15">IF(C50=0, NA(), C50)</f>
        <v>#N/A</v>
      </c>
      <c r="D83" s="10" t="e">
        <f t="shared" ref="D83:G83" si="16">IF(D49=0, NA(), D49)</f>
        <v>#N/A</v>
      </c>
      <c r="E83" s="10" t="e">
        <f t="shared" si="16"/>
        <v>#N/A</v>
      </c>
      <c r="F83" s="10" t="e">
        <f t="shared" si="16"/>
        <v>#N/A</v>
      </c>
      <c r="G83" s="10" t="e">
        <f t="shared" si="16"/>
        <v>#N/A</v>
      </c>
      <c r="H83" s="10" t="e">
        <f t="shared" ref="H83:L83" si="17">IF(H49=0, NA(), H49)</f>
        <v>#N/A</v>
      </c>
      <c r="I83" s="10" t="e">
        <f t="shared" si="17"/>
        <v>#N/A</v>
      </c>
      <c r="J83" s="10" t="e">
        <f t="shared" si="17"/>
        <v>#N/A</v>
      </c>
      <c r="K83" s="10" t="e">
        <f t="shared" si="17"/>
        <v>#N/A</v>
      </c>
      <c r="L83" s="10" t="e">
        <f t="shared" si="17"/>
        <v>#N/A</v>
      </c>
    </row>
    <row r="84" spans="1:12" x14ac:dyDescent="0.3">
      <c r="A84" s="1">
        <v>13</v>
      </c>
      <c r="B84" s="9">
        <f t="shared" si="10"/>
        <v>0</v>
      </c>
      <c r="C84" s="10" t="e">
        <f t="shared" ref="C84" si="18">IF(C51=0, NA(), C51)</f>
        <v>#N/A</v>
      </c>
      <c r="D84" s="10" t="e">
        <f t="shared" ref="D84:G84" si="19">IF(D50=0, NA(), D50)</f>
        <v>#N/A</v>
      </c>
      <c r="E84" s="10" t="e">
        <f t="shared" si="19"/>
        <v>#N/A</v>
      </c>
      <c r="F84" s="10" t="e">
        <f t="shared" si="19"/>
        <v>#N/A</v>
      </c>
      <c r="G84" s="10" t="e">
        <f t="shared" si="19"/>
        <v>#N/A</v>
      </c>
      <c r="H84" s="10" t="e">
        <f t="shared" ref="H84:L84" si="20">IF(H50=0, NA(), H50)</f>
        <v>#N/A</v>
      </c>
      <c r="I84" s="10" t="e">
        <f t="shared" si="20"/>
        <v>#N/A</v>
      </c>
      <c r="J84" s="10" t="e">
        <f t="shared" si="20"/>
        <v>#N/A</v>
      </c>
      <c r="K84" s="10" t="e">
        <f t="shared" si="20"/>
        <v>#N/A</v>
      </c>
      <c r="L84" s="10" t="e">
        <f t="shared" si="20"/>
        <v>#N/A</v>
      </c>
    </row>
    <row r="85" spans="1:12" x14ac:dyDescent="0.3">
      <c r="A85" s="1">
        <v>14</v>
      </c>
      <c r="B85" s="9">
        <f t="shared" si="10"/>
        <v>0</v>
      </c>
      <c r="C85" s="10" t="e">
        <f t="shared" ref="C85" si="21">IF(C52=0, NA(), C52)</f>
        <v>#N/A</v>
      </c>
      <c r="D85" s="10" t="e">
        <f t="shared" ref="D85:G85" si="22">IF(D51=0, NA(), D51)</f>
        <v>#N/A</v>
      </c>
      <c r="E85" s="10" t="e">
        <f t="shared" si="22"/>
        <v>#N/A</v>
      </c>
      <c r="F85" s="10" t="e">
        <f t="shared" si="22"/>
        <v>#N/A</v>
      </c>
      <c r="G85" s="10" t="e">
        <f t="shared" si="22"/>
        <v>#N/A</v>
      </c>
      <c r="H85" s="10" t="e">
        <f t="shared" ref="H85:L85" si="23">IF(H51=0, NA(), H51)</f>
        <v>#N/A</v>
      </c>
      <c r="I85" s="10" t="e">
        <f t="shared" si="23"/>
        <v>#N/A</v>
      </c>
      <c r="J85" s="10" t="e">
        <f t="shared" si="23"/>
        <v>#N/A</v>
      </c>
      <c r="K85" s="10" t="e">
        <f t="shared" si="23"/>
        <v>#N/A</v>
      </c>
      <c r="L85" s="10" t="e">
        <f t="shared" si="23"/>
        <v>#N/A</v>
      </c>
    </row>
    <row r="86" spans="1:12" x14ac:dyDescent="0.3">
      <c r="A86" s="1">
        <v>15</v>
      </c>
      <c r="B86" s="9">
        <f t="shared" si="10"/>
        <v>0</v>
      </c>
      <c r="C86" s="10" t="e">
        <f t="shared" ref="C86:L86" si="24">IF(C53=0, NA(), C53)</f>
        <v>#N/A</v>
      </c>
      <c r="D86" s="10" t="e">
        <f t="shared" ref="D86:G86" si="25">IF(D52=0, NA(), D52)</f>
        <v>#N/A</v>
      </c>
      <c r="E86" s="10" t="e">
        <f t="shared" si="25"/>
        <v>#N/A</v>
      </c>
      <c r="F86" s="10" t="e">
        <f t="shared" si="25"/>
        <v>#N/A</v>
      </c>
      <c r="G86" s="10" t="e">
        <f t="shared" si="25"/>
        <v>#N/A</v>
      </c>
      <c r="H86" s="10" t="e">
        <f t="shared" si="24"/>
        <v>#N/A</v>
      </c>
      <c r="I86" s="10" t="e">
        <f t="shared" si="24"/>
        <v>#N/A</v>
      </c>
      <c r="J86" s="10" t="e">
        <f t="shared" si="24"/>
        <v>#N/A</v>
      </c>
      <c r="K86" s="10" t="e">
        <f t="shared" si="24"/>
        <v>#N/A</v>
      </c>
      <c r="L86" s="10" t="e">
        <f t="shared" si="24"/>
        <v>#N/A</v>
      </c>
    </row>
    <row r="87" spans="1:12" x14ac:dyDescent="0.3">
      <c r="A87" s="1">
        <v>16</v>
      </c>
      <c r="B87" s="9">
        <f t="shared" si="10"/>
        <v>0</v>
      </c>
      <c r="C87" s="10" t="e">
        <f t="shared" ref="C87:L87" si="26">IF(C54=0, NA(), C54)</f>
        <v>#N/A</v>
      </c>
      <c r="D87" s="10" t="e">
        <f t="shared" ref="D87:G87" si="27">IF(D53=0, NA(), D53)</f>
        <v>#N/A</v>
      </c>
      <c r="E87" s="10" t="e">
        <f t="shared" si="27"/>
        <v>#N/A</v>
      </c>
      <c r="F87" s="10" t="e">
        <f t="shared" si="27"/>
        <v>#N/A</v>
      </c>
      <c r="G87" s="10" t="e">
        <f t="shared" si="27"/>
        <v>#N/A</v>
      </c>
      <c r="H87" s="10" t="e">
        <f t="shared" si="26"/>
        <v>#N/A</v>
      </c>
      <c r="I87" s="10" t="e">
        <f t="shared" si="26"/>
        <v>#N/A</v>
      </c>
      <c r="J87" s="10" t="e">
        <f t="shared" si="26"/>
        <v>#N/A</v>
      </c>
      <c r="K87" s="10" t="e">
        <f t="shared" si="26"/>
        <v>#N/A</v>
      </c>
      <c r="L87" s="10" t="e">
        <f t="shared" si="26"/>
        <v>#N/A</v>
      </c>
    </row>
    <row r="88" spans="1:12" x14ac:dyDescent="0.3">
      <c r="A88" s="1">
        <v>17</v>
      </c>
      <c r="B88" s="9">
        <f t="shared" si="10"/>
        <v>0</v>
      </c>
      <c r="C88" s="10" t="e">
        <f t="shared" ref="C88:L88" si="28">IF(C55=0, NA(), C55)</f>
        <v>#N/A</v>
      </c>
      <c r="D88" s="10" t="e">
        <f t="shared" ref="D88:G88" si="29">IF(D54=0, NA(), D54)</f>
        <v>#N/A</v>
      </c>
      <c r="E88" s="10" t="e">
        <f t="shared" si="29"/>
        <v>#N/A</v>
      </c>
      <c r="F88" s="10" t="e">
        <f t="shared" si="29"/>
        <v>#N/A</v>
      </c>
      <c r="G88" s="10" t="e">
        <f t="shared" si="29"/>
        <v>#N/A</v>
      </c>
      <c r="H88" s="10" t="e">
        <f t="shared" si="28"/>
        <v>#N/A</v>
      </c>
      <c r="I88" s="10" t="e">
        <f t="shared" si="28"/>
        <v>#N/A</v>
      </c>
      <c r="J88" s="10" t="e">
        <f t="shared" si="28"/>
        <v>#N/A</v>
      </c>
      <c r="K88" s="10" t="e">
        <f t="shared" si="28"/>
        <v>#N/A</v>
      </c>
      <c r="L88" s="10" t="e">
        <f t="shared" si="28"/>
        <v>#N/A</v>
      </c>
    </row>
    <row r="89" spans="1:12" x14ac:dyDescent="0.3">
      <c r="A89" s="1">
        <v>18</v>
      </c>
      <c r="B89" s="9">
        <f t="shared" si="10"/>
        <v>0</v>
      </c>
      <c r="C89" s="10" t="e">
        <f t="shared" ref="C89:L89" si="30">IF(C56=0, NA(), C56)</f>
        <v>#N/A</v>
      </c>
      <c r="D89" s="10" t="e">
        <f t="shared" ref="D89:G89" si="31">IF(D55=0, NA(), D55)</f>
        <v>#N/A</v>
      </c>
      <c r="E89" s="10" t="e">
        <f t="shared" si="31"/>
        <v>#N/A</v>
      </c>
      <c r="F89" s="10" t="e">
        <f t="shared" si="31"/>
        <v>#N/A</v>
      </c>
      <c r="G89" s="10" t="e">
        <f t="shared" si="31"/>
        <v>#N/A</v>
      </c>
      <c r="H89" s="10" t="e">
        <f t="shared" si="30"/>
        <v>#N/A</v>
      </c>
      <c r="I89" s="10" t="e">
        <f t="shared" si="30"/>
        <v>#N/A</v>
      </c>
      <c r="J89" s="10" t="e">
        <f t="shared" si="30"/>
        <v>#N/A</v>
      </c>
      <c r="K89" s="10" t="e">
        <f t="shared" si="30"/>
        <v>#N/A</v>
      </c>
      <c r="L89" s="10" t="e">
        <f t="shared" si="30"/>
        <v>#N/A</v>
      </c>
    </row>
    <row r="90" spans="1:12" x14ac:dyDescent="0.3">
      <c r="A90" s="1">
        <v>19</v>
      </c>
      <c r="B90" s="9">
        <f t="shared" si="10"/>
        <v>0</v>
      </c>
      <c r="C90" s="10" t="e">
        <f t="shared" ref="C90:L90" si="32">IF(C57=0, NA(), C57)</f>
        <v>#N/A</v>
      </c>
      <c r="D90" s="10" t="e">
        <f t="shared" ref="D90:G90" si="33">IF(D56=0, NA(), D56)</f>
        <v>#N/A</v>
      </c>
      <c r="E90" s="10" t="e">
        <f t="shared" si="33"/>
        <v>#N/A</v>
      </c>
      <c r="F90" s="10" t="e">
        <f t="shared" si="33"/>
        <v>#N/A</v>
      </c>
      <c r="G90" s="10" t="e">
        <f t="shared" si="33"/>
        <v>#N/A</v>
      </c>
      <c r="H90" s="10" t="e">
        <f t="shared" si="32"/>
        <v>#N/A</v>
      </c>
      <c r="I90" s="10" t="e">
        <f t="shared" si="32"/>
        <v>#N/A</v>
      </c>
      <c r="J90" s="10" t="e">
        <f t="shared" si="32"/>
        <v>#N/A</v>
      </c>
      <c r="K90" s="10" t="e">
        <f t="shared" si="32"/>
        <v>#N/A</v>
      </c>
      <c r="L90" s="10" t="e">
        <f t="shared" si="32"/>
        <v>#N/A</v>
      </c>
    </row>
    <row r="91" spans="1:12" x14ac:dyDescent="0.3">
      <c r="A91" s="1">
        <v>20</v>
      </c>
      <c r="B91" s="9">
        <f t="shared" si="10"/>
        <v>0</v>
      </c>
      <c r="C91" s="10" t="e">
        <f t="shared" ref="C91:L91" si="34">IF(C58=0, NA(), C58)</f>
        <v>#N/A</v>
      </c>
      <c r="D91" s="10" t="e">
        <f t="shared" ref="D91:G91" si="35">IF(D57=0, NA(), D57)</f>
        <v>#N/A</v>
      </c>
      <c r="E91" s="10" t="e">
        <f t="shared" si="35"/>
        <v>#N/A</v>
      </c>
      <c r="F91" s="10" t="e">
        <f t="shared" si="35"/>
        <v>#N/A</v>
      </c>
      <c r="G91" s="10" t="e">
        <f t="shared" si="35"/>
        <v>#N/A</v>
      </c>
      <c r="H91" s="10" t="e">
        <f t="shared" si="34"/>
        <v>#N/A</v>
      </c>
      <c r="I91" s="10" t="e">
        <f t="shared" si="34"/>
        <v>#N/A</v>
      </c>
      <c r="J91" s="10" t="e">
        <f t="shared" si="34"/>
        <v>#N/A</v>
      </c>
      <c r="K91" s="10" t="e">
        <f t="shared" si="34"/>
        <v>#N/A</v>
      </c>
      <c r="L91" s="10" t="e">
        <f t="shared" si="34"/>
        <v>#N/A</v>
      </c>
    </row>
    <row r="92" spans="1:12" x14ac:dyDescent="0.3">
      <c r="A92" s="1">
        <v>21</v>
      </c>
      <c r="B92" s="9">
        <f t="shared" si="10"/>
        <v>0</v>
      </c>
      <c r="C92" s="10" t="e">
        <f t="shared" ref="C92:L92" si="36">IF(C59=0, NA(), C59)</f>
        <v>#N/A</v>
      </c>
      <c r="D92" s="10" t="e">
        <f t="shared" ref="D92:G92" si="37">IF(D58=0, NA(), D58)</f>
        <v>#N/A</v>
      </c>
      <c r="E92" s="10" t="e">
        <f t="shared" si="37"/>
        <v>#N/A</v>
      </c>
      <c r="F92" s="10" t="e">
        <f t="shared" si="37"/>
        <v>#N/A</v>
      </c>
      <c r="G92" s="10" t="e">
        <f t="shared" si="37"/>
        <v>#N/A</v>
      </c>
      <c r="H92" s="10" t="e">
        <f t="shared" si="36"/>
        <v>#N/A</v>
      </c>
      <c r="I92" s="10" t="e">
        <f t="shared" si="36"/>
        <v>#N/A</v>
      </c>
      <c r="J92" s="10" t="e">
        <f t="shared" si="36"/>
        <v>#N/A</v>
      </c>
      <c r="K92" s="10" t="e">
        <f t="shared" si="36"/>
        <v>#N/A</v>
      </c>
      <c r="L92" s="10" t="e">
        <f t="shared" si="36"/>
        <v>#N/A</v>
      </c>
    </row>
    <row r="93" spans="1:12" x14ac:dyDescent="0.3">
      <c r="A93" s="1">
        <v>22</v>
      </c>
      <c r="B93" s="9">
        <f t="shared" si="10"/>
        <v>0</v>
      </c>
      <c r="C93" s="10" t="e">
        <f t="shared" ref="C93:L93" si="38">IF(C60=0, NA(), C60)</f>
        <v>#N/A</v>
      </c>
      <c r="D93" s="10" t="e">
        <f t="shared" ref="D93:G93" si="39">IF(D59=0, NA(), D59)</f>
        <v>#N/A</v>
      </c>
      <c r="E93" s="10" t="e">
        <f t="shared" si="39"/>
        <v>#N/A</v>
      </c>
      <c r="F93" s="10" t="e">
        <f t="shared" si="39"/>
        <v>#N/A</v>
      </c>
      <c r="G93" s="10" t="e">
        <f t="shared" si="39"/>
        <v>#N/A</v>
      </c>
      <c r="H93" s="10" t="e">
        <f t="shared" si="38"/>
        <v>#N/A</v>
      </c>
      <c r="I93" s="10" t="e">
        <f t="shared" si="38"/>
        <v>#N/A</v>
      </c>
      <c r="J93" s="10" t="e">
        <f t="shared" si="38"/>
        <v>#N/A</v>
      </c>
      <c r="K93" s="10" t="e">
        <f t="shared" si="38"/>
        <v>#N/A</v>
      </c>
      <c r="L93" s="10" t="e">
        <f t="shared" si="38"/>
        <v>#N/A</v>
      </c>
    </row>
    <row r="94" spans="1:12" x14ac:dyDescent="0.3">
      <c r="A94" s="1">
        <v>23</v>
      </c>
      <c r="B94" s="9">
        <f t="shared" si="10"/>
        <v>0</v>
      </c>
      <c r="C94" s="10" t="e">
        <f t="shared" ref="C94:L94" si="40">IF(C61=0, NA(), C61)</f>
        <v>#N/A</v>
      </c>
      <c r="D94" s="10" t="e">
        <f t="shared" ref="D94:G94" si="41">IF(D60=0, NA(), D60)</f>
        <v>#N/A</v>
      </c>
      <c r="E94" s="10" t="e">
        <f t="shared" si="41"/>
        <v>#N/A</v>
      </c>
      <c r="F94" s="10" t="e">
        <f t="shared" si="41"/>
        <v>#N/A</v>
      </c>
      <c r="G94" s="10" t="e">
        <f t="shared" si="41"/>
        <v>#N/A</v>
      </c>
      <c r="H94" s="10" t="e">
        <f t="shared" si="40"/>
        <v>#N/A</v>
      </c>
      <c r="I94" s="10" t="e">
        <f t="shared" si="40"/>
        <v>#N/A</v>
      </c>
      <c r="J94" s="10" t="e">
        <f t="shared" si="40"/>
        <v>#N/A</v>
      </c>
      <c r="K94" s="10" t="e">
        <f t="shared" si="40"/>
        <v>#N/A</v>
      </c>
      <c r="L94" s="10" t="e">
        <f t="shared" si="40"/>
        <v>#N/A</v>
      </c>
    </row>
    <row r="95" spans="1:12" x14ac:dyDescent="0.3">
      <c r="A95" s="1">
        <v>24</v>
      </c>
      <c r="B95" s="9">
        <f t="shared" si="10"/>
        <v>0</v>
      </c>
      <c r="C95" s="10" t="e">
        <f t="shared" ref="C95:L95" si="42">IF(C62=0, NA(), C62)</f>
        <v>#N/A</v>
      </c>
      <c r="D95" s="10" t="e">
        <f t="shared" ref="D95:G95" si="43">IF(D61=0, NA(), D61)</f>
        <v>#N/A</v>
      </c>
      <c r="E95" s="10" t="e">
        <f t="shared" si="43"/>
        <v>#N/A</v>
      </c>
      <c r="F95" s="10" t="e">
        <f t="shared" si="43"/>
        <v>#N/A</v>
      </c>
      <c r="G95" s="10" t="e">
        <f t="shared" si="43"/>
        <v>#N/A</v>
      </c>
      <c r="H95" s="10" t="e">
        <f t="shared" si="42"/>
        <v>#N/A</v>
      </c>
      <c r="I95" s="10" t="e">
        <f t="shared" si="42"/>
        <v>#N/A</v>
      </c>
      <c r="J95" s="10" t="e">
        <f t="shared" si="42"/>
        <v>#N/A</v>
      </c>
      <c r="K95" s="10" t="e">
        <f t="shared" si="42"/>
        <v>#N/A</v>
      </c>
      <c r="L95" s="10" t="e">
        <f t="shared" si="42"/>
        <v>#N/A</v>
      </c>
    </row>
    <row r="96" spans="1:12" x14ac:dyDescent="0.3">
      <c r="A96" s="1">
        <v>25</v>
      </c>
      <c r="B96" s="9">
        <f t="shared" si="10"/>
        <v>0</v>
      </c>
      <c r="C96" s="10" t="e">
        <f t="shared" ref="C96:L96" si="44">IF(C63=0, NA(), C63)</f>
        <v>#N/A</v>
      </c>
      <c r="D96" s="10" t="e">
        <f t="shared" ref="D96:G96" si="45">IF(D62=0, NA(), D62)</f>
        <v>#N/A</v>
      </c>
      <c r="E96" s="10" t="e">
        <f t="shared" si="45"/>
        <v>#N/A</v>
      </c>
      <c r="F96" s="10" t="e">
        <f t="shared" si="45"/>
        <v>#N/A</v>
      </c>
      <c r="G96" s="10" t="e">
        <f t="shared" si="45"/>
        <v>#N/A</v>
      </c>
      <c r="H96" s="10" t="e">
        <f t="shared" si="44"/>
        <v>#N/A</v>
      </c>
      <c r="I96" s="10" t="e">
        <f t="shared" si="44"/>
        <v>#N/A</v>
      </c>
      <c r="J96" s="10" t="e">
        <f t="shared" si="44"/>
        <v>#N/A</v>
      </c>
      <c r="K96" s="10" t="e">
        <f t="shared" si="44"/>
        <v>#N/A</v>
      </c>
      <c r="L96" s="10" t="e">
        <f t="shared" si="44"/>
        <v>#N/A</v>
      </c>
    </row>
    <row r="97" spans="1:12" x14ac:dyDescent="0.3">
      <c r="A97" s="1">
        <v>26</v>
      </c>
      <c r="B97" s="9">
        <f t="shared" si="10"/>
        <v>0</v>
      </c>
      <c r="C97" s="10" t="e">
        <f t="shared" ref="C97:L97" si="46">IF(C64=0, NA(), C64)</f>
        <v>#N/A</v>
      </c>
      <c r="D97" s="10" t="e">
        <f t="shared" ref="D97:G97" si="47">IF(D63=0, NA(), D63)</f>
        <v>#N/A</v>
      </c>
      <c r="E97" s="10" t="e">
        <f t="shared" si="47"/>
        <v>#N/A</v>
      </c>
      <c r="F97" s="10" t="e">
        <f t="shared" si="47"/>
        <v>#N/A</v>
      </c>
      <c r="G97" s="10" t="e">
        <f t="shared" si="47"/>
        <v>#N/A</v>
      </c>
      <c r="H97" s="10" t="e">
        <f t="shared" si="46"/>
        <v>#N/A</v>
      </c>
      <c r="I97" s="10" t="e">
        <f t="shared" si="46"/>
        <v>#N/A</v>
      </c>
      <c r="J97" s="10" t="e">
        <f t="shared" si="46"/>
        <v>#N/A</v>
      </c>
      <c r="K97" s="10" t="e">
        <f t="shared" si="46"/>
        <v>#N/A</v>
      </c>
      <c r="L97" s="10" t="e">
        <f t="shared" si="46"/>
        <v>#N/A</v>
      </c>
    </row>
    <row r="98" spans="1:12" x14ac:dyDescent="0.3">
      <c r="A98" s="1">
        <v>27</v>
      </c>
      <c r="B98" s="9">
        <f t="shared" si="10"/>
        <v>0</v>
      </c>
      <c r="C98" s="10" t="e">
        <f t="shared" ref="C98:L98" si="48">IF(C65=0, NA(), C65)</f>
        <v>#N/A</v>
      </c>
      <c r="D98" s="10" t="e">
        <f t="shared" ref="D98:G98" si="49">IF(D64=0, NA(), D64)</f>
        <v>#N/A</v>
      </c>
      <c r="E98" s="10" t="e">
        <f t="shared" si="49"/>
        <v>#N/A</v>
      </c>
      <c r="F98" s="10" t="e">
        <f t="shared" si="49"/>
        <v>#N/A</v>
      </c>
      <c r="G98" s="10" t="e">
        <f t="shared" si="49"/>
        <v>#N/A</v>
      </c>
      <c r="H98" s="10" t="e">
        <f t="shared" si="48"/>
        <v>#N/A</v>
      </c>
      <c r="I98" s="10" t="e">
        <f t="shared" si="48"/>
        <v>#N/A</v>
      </c>
      <c r="J98" s="10" t="e">
        <f t="shared" si="48"/>
        <v>#N/A</v>
      </c>
      <c r="K98" s="10" t="e">
        <f t="shared" si="48"/>
        <v>#N/A</v>
      </c>
      <c r="L98" s="10" t="e">
        <f t="shared" si="48"/>
        <v>#N/A</v>
      </c>
    </row>
    <row r="99" spans="1:12" x14ac:dyDescent="0.3">
      <c r="A99" s="1">
        <v>28</v>
      </c>
      <c r="B99" s="9">
        <f t="shared" si="10"/>
        <v>0</v>
      </c>
      <c r="C99" s="10" t="e">
        <f t="shared" ref="C99:L99" si="50">IF(C66=0, NA(), C66)</f>
        <v>#N/A</v>
      </c>
      <c r="D99" s="10" t="e">
        <f t="shared" ref="D99:G99" si="51">IF(D65=0, NA(), D65)</f>
        <v>#N/A</v>
      </c>
      <c r="E99" s="10" t="e">
        <f t="shared" si="51"/>
        <v>#N/A</v>
      </c>
      <c r="F99" s="10" t="e">
        <f t="shared" si="51"/>
        <v>#N/A</v>
      </c>
      <c r="G99" s="10" t="e">
        <f t="shared" si="51"/>
        <v>#N/A</v>
      </c>
      <c r="H99" s="10" t="e">
        <f t="shared" si="50"/>
        <v>#N/A</v>
      </c>
      <c r="I99" s="10" t="e">
        <f t="shared" si="50"/>
        <v>#N/A</v>
      </c>
      <c r="J99" s="10" t="e">
        <f t="shared" si="50"/>
        <v>#N/A</v>
      </c>
      <c r="K99" s="10" t="e">
        <f t="shared" si="50"/>
        <v>#N/A</v>
      </c>
      <c r="L99" s="10" t="e">
        <f t="shared" si="50"/>
        <v>#N/A</v>
      </c>
    </row>
    <row r="100" spans="1:12" x14ac:dyDescent="0.3">
      <c r="A100" s="1">
        <v>29</v>
      </c>
      <c r="B100" s="9">
        <f t="shared" si="10"/>
        <v>0</v>
      </c>
      <c r="C100" s="10" t="e">
        <f t="shared" ref="C100:L100" si="52">IF(C67=0, NA(), C67)</f>
        <v>#N/A</v>
      </c>
      <c r="D100" s="10" t="e">
        <f t="shared" ref="D100:G100" si="53">IF(D66=0, NA(), D66)</f>
        <v>#N/A</v>
      </c>
      <c r="E100" s="10" t="e">
        <f t="shared" si="53"/>
        <v>#N/A</v>
      </c>
      <c r="F100" s="10" t="e">
        <f t="shared" si="53"/>
        <v>#N/A</v>
      </c>
      <c r="G100" s="10" t="e">
        <f t="shared" si="53"/>
        <v>#N/A</v>
      </c>
      <c r="H100" s="10" t="e">
        <f t="shared" si="52"/>
        <v>#N/A</v>
      </c>
      <c r="I100" s="10" t="e">
        <f t="shared" si="52"/>
        <v>#N/A</v>
      </c>
      <c r="J100" s="10" t="e">
        <f t="shared" si="52"/>
        <v>#N/A</v>
      </c>
      <c r="K100" s="10" t="e">
        <f t="shared" si="52"/>
        <v>#N/A</v>
      </c>
      <c r="L100" s="10" t="e">
        <f t="shared" si="52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54">IF($H$4=0, NA(), $H$4)</f>
        <v>#N/A</v>
      </c>
      <c r="E103" s="8" t="e">
        <f t="shared" si="54"/>
        <v>#N/A</v>
      </c>
      <c r="F103" s="8" t="e">
        <f t="shared" si="54"/>
        <v>#N/A</v>
      </c>
      <c r="G103" s="8" t="e">
        <f t="shared" si="54"/>
        <v>#N/A</v>
      </c>
      <c r="H103" s="8" t="e">
        <f t="shared" si="54"/>
        <v>#N/A</v>
      </c>
      <c r="I103" s="8" t="e">
        <f t="shared" si="54"/>
        <v>#N/A</v>
      </c>
      <c r="J103" s="8" t="e">
        <f t="shared" si="54"/>
        <v>#N/A</v>
      </c>
      <c r="K103" s="8" t="e">
        <f t="shared" si="54"/>
        <v>#N/A</v>
      </c>
      <c r="L103" s="8" t="e">
        <f t="shared" si="54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55">IF($J$4=0, NA(), $J$4)</f>
        <v>#N/A</v>
      </c>
      <c r="E104" s="8" t="e">
        <f t="shared" si="55"/>
        <v>#N/A</v>
      </c>
      <c r="F104" s="8" t="e">
        <f t="shared" si="55"/>
        <v>#N/A</v>
      </c>
      <c r="G104" s="8" t="e">
        <f t="shared" si="55"/>
        <v>#N/A</v>
      </c>
      <c r="H104" s="8" t="e">
        <f t="shared" si="55"/>
        <v>#N/A</v>
      </c>
      <c r="I104" s="8" t="e">
        <f t="shared" si="55"/>
        <v>#N/A</v>
      </c>
      <c r="J104" s="8" t="e">
        <f t="shared" si="55"/>
        <v>#N/A</v>
      </c>
      <c r="K104" s="8" t="e">
        <f t="shared" si="55"/>
        <v>#N/A</v>
      </c>
      <c r="L104" s="8" t="e">
        <f t="shared" si="55"/>
        <v>#N/A</v>
      </c>
    </row>
  </sheetData>
  <mergeCells count="18">
    <mergeCell ref="E1:M2"/>
    <mergeCell ref="A1:D2"/>
    <mergeCell ref="A3:B3"/>
    <mergeCell ref="C3:D3"/>
    <mergeCell ref="E3:F3"/>
    <mergeCell ref="G3:J3"/>
    <mergeCell ref="K3:L3"/>
    <mergeCell ref="A70:A71"/>
    <mergeCell ref="C70:L70"/>
    <mergeCell ref="A4:B4"/>
    <mergeCell ref="E4:F4"/>
    <mergeCell ref="K4:L4"/>
    <mergeCell ref="A36:A37"/>
    <mergeCell ref="B36:B37"/>
    <mergeCell ref="C36:L36"/>
    <mergeCell ref="A26:M26"/>
    <mergeCell ref="A27:M33"/>
    <mergeCell ref="C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A289-BB1E-4D91-9515-B19501CA8EA6}">
  <sheetPr codeName="Sheet3"/>
  <dimension ref="A1:P104"/>
  <sheetViews>
    <sheetView view="pageBreakPreview" zoomScaleNormal="100" zoomScaleSheetLayoutView="100" workbookViewId="0">
      <selection activeCell="H4" sqref="H4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3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15"/>
      <c r="I4" s="20" t="s">
        <v>19</v>
      </c>
      <c r="J4" s="16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ht="17.45" customHeight="1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6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6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6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  <c r="P37">
        <v>2021</v>
      </c>
    </row>
    <row r="38" spans="1:16" x14ac:dyDescent="0.3">
      <c r="A38" s="1">
        <v>1</v>
      </c>
      <c r="B38" s="9"/>
      <c r="C38" s="17"/>
      <c r="D38" s="14"/>
      <c r="E38" s="14"/>
      <c r="F38" s="14"/>
      <c r="G38" s="17"/>
      <c r="H38" s="14"/>
      <c r="I38" s="17"/>
      <c r="J38" s="14"/>
      <c r="K38" s="10"/>
      <c r="L38" s="10"/>
      <c r="O38" t="s">
        <v>23</v>
      </c>
      <c r="P38" s="21">
        <f>MAX(C38:I38)</f>
        <v>0</v>
      </c>
    </row>
    <row r="39" spans="1:16" x14ac:dyDescent="0.3">
      <c r="A39" s="1">
        <v>2</v>
      </c>
      <c r="B39" s="9"/>
      <c r="C39" s="17"/>
      <c r="D39" s="14"/>
      <c r="E39" s="14"/>
      <c r="F39" s="14"/>
      <c r="G39" s="17"/>
      <c r="H39" s="17"/>
      <c r="I39" s="14"/>
      <c r="J39" s="10"/>
      <c r="K39" s="10"/>
      <c r="L39" s="10"/>
      <c r="O39" t="s">
        <v>24</v>
      </c>
      <c r="P39" s="21">
        <f>MIN(C38:I38)</f>
        <v>0</v>
      </c>
    </row>
    <row r="40" spans="1:16" x14ac:dyDescent="0.3">
      <c r="A40" s="1">
        <v>3</v>
      </c>
      <c r="B40" s="9"/>
      <c r="C40" s="17"/>
      <c r="D40" s="14"/>
      <c r="E40" s="14"/>
      <c r="F40" s="14"/>
      <c r="G40" s="14"/>
      <c r="H40" s="14"/>
      <c r="I40" s="14"/>
      <c r="J40" s="14"/>
      <c r="K40" s="14"/>
      <c r="L40" s="14"/>
    </row>
    <row r="41" spans="1:16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6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6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6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6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6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6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6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8F19-3742-42D8-920D-19DBB4F57B46}">
  <sheetPr codeName="Sheet2"/>
  <dimension ref="A1:P104"/>
  <sheetViews>
    <sheetView view="pageBreakPreview" zoomScaleNormal="100" zoomScaleSheetLayoutView="100" workbookViewId="0">
      <selection activeCell="H4" sqref="H4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3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13"/>
      <c r="I4" s="19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6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6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6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  <c r="P37">
        <v>2021</v>
      </c>
    </row>
    <row r="38" spans="1:16" x14ac:dyDescent="0.3">
      <c r="A38" s="1">
        <v>1</v>
      </c>
      <c r="B38" s="9"/>
      <c r="C38" s="10"/>
      <c r="D38" s="14"/>
      <c r="E38" s="14"/>
      <c r="F38" s="14"/>
      <c r="G38" s="10"/>
      <c r="H38" s="14"/>
      <c r="I38" s="10"/>
      <c r="J38" s="14"/>
      <c r="K38" s="10"/>
      <c r="L38" s="10"/>
      <c r="O38" t="s">
        <v>23</v>
      </c>
      <c r="P38" s="21">
        <f>MAX(C38:I38)</f>
        <v>0</v>
      </c>
    </row>
    <row r="39" spans="1:16" x14ac:dyDescent="0.3">
      <c r="A39" s="1">
        <v>2</v>
      </c>
      <c r="B39" s="9"/>
      <c r="C39" s="10"/>
      <c r="D39" s="14"/>
      <c r="E39" s="14"/>
      <c r="F39" s="14"/>
      <c r="G39" s="10"/>
      <c r="H39" s="17"/>
      <c r="I39" s="14"/>
      <c r="J39" s="10"/>
      <c r="K39" s="10"/>
      <c r="L39" s="10"/>
      <c r="O39" t="s">
        <v>24</v>
      </c>
      <c r="P39" s="21">
        <f>MIN(C38:I38)</f>
        <v>0</v>
      </c>
    </row>
    <row r="40" spans="1:16" x14ac:dyDescent="0.3">
      <c r="A40" s="1">
        <v>3</v>
      </c>
      <c r="B40" s="9"/>
      <c r="C40" s="10"/>
      <c r="D40" s="14"/>
      <c r="E40" s="14"/>
      <c r="F40" s="14"/>
      <c r="G40" s="14"/>
      <c r="H40" s="14"/>
      <c r="I40" s="14"/>
      <c r="J40" s="14"/>
      <c r="K40" s="14"/>
      <c r="L40" s="14"/>
    </row>
    <row r="41" spans="1:16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6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6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6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6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6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6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6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4A0D-C9D4-4A94-ABE8-CFB7410BAE02}">
  <sheetPr codeName="Sheet4"/>
  <dimension ref="A1:P104"/>
  <sheetViews>
    <sheetView view="pageBreakPreview" zoomScaleNormal="100" zoomScaleSheetLayoutView="100" workbookViewId="0">
      <selection activeCell="F42" sqref="F42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2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13"/>
      <c r="I4" s="19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6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6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6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  <c r="P37">
        <v>2021</v>
      </c>
    </row>
    <row r="38" spans="1:16" x14ac:dyDescent="0.3">
      <c r="A38" s="1">
        <v>1</v>
      </c>
      <c r="B38" s="9"/>
      <c r="C38" s="10"/>
      <c r="D38" s="14"/>
      <c r="E38" s="14"/>
      <c r="F38" s="14"/>
      <c r="G38" s="10"/>
      <c r="H38" s="14"/>
      <c r="I38" s="10"/>
      <c r="J38" s="14"/>
      <c r="K38" s="10"/>
      <c r="L38" s="10"/>
      <c r="O38" t="s">
        <v>23</v>
      </c>
      <c r="P38" s="21">
        <f>MAX(C38:I38)</f>
        <v>0</v>
      </c>
    </row>
    <row r="39" spans="1:16" x14ac:dyDescent="0.3">
      <c r="A39" s="1">
        <v>2</v>
      </c>
      <c r="B39" s="9"/>
      <c r="C39" s="10"/>
      <c r="D39" s="14"/>
      <c r="E39" s="14"/>
      <c r="F39" s="14"/>
      <c r="G39" s="10"/>
      <c r="H39" s="17"/>
      <c r="I39" s="14"/>
      <c r="J39" s="10"/>
      <c r="K39" s="10"/>
      <c r="L39" s="10"/>
      <c r="O39" t="s">
        <v>24</v>
      </c>
      <c r="P39" s="21">
        <f>MIN(C38:I38)</f>
        <v>0</v>
      </c>
    </row>
    <row r="40" spans="1:16" x14ac:dyDescent="0.3">
      <c r="A40" s="1">
        <v>3</v>
      </c>
      <c r="B40" s="9"/>
      <c r="C40" s="10"/>
      <c r="D40" s="14"/>
      <c r="E40" s="14"/>
      <c r="F40" s="14"/>
      <c r="G40" s="14"/>
      <c r="H40" s="14"/>
      <c r="I40" s="14"/>
      <c r="J40" s="14"/>
      <c r="K40" s="14"/>
      <c r="L40" s="14"/>
    </row>
    <row r="41" spans="1:16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6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6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6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6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6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6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6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C3B3-F070-48FE-BED5-8577405EE35B}">
  <sheetPr codeName="Sheet5"/>
  <dimension ref="A1:P104"/>
  <sheetViews>
    <sheetView tabSelected="1" view="pageBreakPreview" topLeftCell="A13" zoomScaleNormal="100" zoomScaleSheetLayoutView="100" workbookViewId="0">
      <selection activeCell="F44" sqref="F44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2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13"/>
      <c r="I4" s="19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">
      <c r="A27" s="47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6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6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6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  <c r="P37">
        <v>2021</v>
      </c>
    </row>
    <row r="38" spans="1:16" x14ac:dyDescent="0.3">
      <c r="A38" s="1">
        <v>1</v>
      </c>
      <c r="B38" s="9"/>
      <c r="C38" s="14"/>
      <c r="D38" s="14"/>
      <c r="E38" s="14"/>
      <c r="F38" s="14"/>
      <c r="G38" s="14"/>
      <c r="H38" s="14"/>
      <c r="I38" s="14"/>
      <c r="J38" s="14"/>
      <c r="K38" s="10"/>
      <c r="L38" s="10"/>
      <c r="O38" t="s">
        <v>23</v>
      </c>
      <c r="P38" s="21">
        <f>MAX(C38:I38)</f>
        <v>0</v>
      </c>
    </row>
    <row r="39" spans="1:16" x14ac:dyDescent="0.3">
      <c r="A39" s="1">
        <v>2</v>
      </c>
      <c r="B39" s="9"/>
      <c r="C39" s="14"/>
      <c r="D39" s="14"/>
      <c r="E39" s="14"/>
      <c r="F39" s="14"/>
      <c r="G39" s="14"/>
      <c r="H39" s="14"/>
      <c r="I39" s="14"/>
      <c r="J39" s="10"/>
      <c r="K39" s="10"/>
      <c r="L39" s="10"/>
      <c r="O39" t="s">
        <v>24</v>
      </c>
      <c r="P39" s="21">
        <f>MIN(C38:I38)</f>
        <v>0</v>
      </c>
    </row>
    <row r="40" spans="1:16" x14ac:dyDescent="0.3">
      <c r="A40" s="1">
        <v>3</v>
      </c>
      <c r="B40" s="9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6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6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6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6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6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6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6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6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4D07-C691-4AC0-BFF4-4759355621C7}">
  <sheetPr codeName="Sheet6"/>
  <dimension ref="A1:M104"/>
  <sheetViews>
    <sheetView view="pageBreakPreview" topLeftCell="A17" zoomScaleNormal="100" zoomScaleSheetLayoutView="100" workbookViewId="0">
      <selection activeCell="F42" sqref="F42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3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48"/>
      <c r="I4" s="19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3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3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3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</row>
    <row r="38" spans="1:13" x14ac:dyDescent="0.3">
      <c r="A38" s="1">
        <v>1</v>
      </c>
      <c r="B38" s="9"/>
      <c r="C38" s="14"/>
      <c r="D38" s="14"/>
      <c r="E38" s="14"/>
      <c r="F38" s="14"/>
      <c r="G38" s="14"/>
      <c r="H38" s="14"/>
      <c r="I38" s="14"/>
      <c r="J38" s="14"/>
      <c r="K38" s="10"/>
      <c r="L38" s="10"/>
    </row>
    <row r="39" spans="1:13" x14ac:dyDescent="0.3">
      <c r="A39" s="1">
        <v>2</v>
      </c>
      <c r="B39" s="9"/>
      <c r="C39" s="14"/>
      <c r="D39" s="14"/>
      <c r="E39" s="14"/>
      <c r="F39" s="14"/>
      <c r="G39" s="14"/>
      <c r="H39" s="14"/>
      <c r="I39" s="14"/>
      <c r="J39" s="10"/>
      <c r="K39" s="10"/>
      <c r="L39" s="10"/>
    </row>
    <row r="40" spans="1:13" x14ac:dyDescent="0.3">
      <c r="A40" s="1">
        <v>3</v>
      </c>
      <c r="B40" s="9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3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3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3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3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3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3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3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3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C1FF-5FB2-45A9-A7D0-1FB8DE022DB4}">
  <sheetPr codeName="Sheet7"/>
  <dimension ref="A1:M104"/>
  <sheetViews>
    <sheetView view="pageBreakPreview" topLeftCell="A13" zoomScaleNormal="100" zoomScaleSheetLayoutView="100" workbookViewId="0">
      <selection activeCell="L41" sqref="L41"/>
    </sheetView>
  </sheetViews>
  <sheetFormatPr defaultRowHeight="16.5" x14ac:dyDescent="0.3"/>
  <cols>
    <col min="1" max="1" width="6.875" customWidth="1"/>
    <col min="2" max="2" width="11.375" customWidth="1"/>
    <col min="3" max="10" width="11" customWidth="1"/>
    <col min="11" max="12" width="9.625" customWidth="1"/>
    <col min="13" max="13" width="15.375" customWidth="1"/>
  </cols>
  <sheetData>
    <row r="1" spans="1:13" ht="17.45" customHeight="1" x14ac:dyDescent="0.3">
      <c r="A1" s="42"/>
      <c r="B1" s="43"/>
      <c r="C1" s="43"/>
      <c r="D1" s="43"/>
      <c r="E1" s="36" t="s">
        <v>17</v>
      </c>
      <c r="F1" s="37"/>
      <c r="G1" s="37"/>
      <c r="H1" s="37"/>
      <c r="I1" s="37"/>
      <c r="J1" s="37"/>
      <c r="K1" s="37"/>
      <c r="L1" s="37"/>
      <c r="M1" s="38"/>
    </row>
    <row r="2" spans="1:13" ht="17.45" customHeight="1" x14ac:dyDescent="0.3">
      <c r="A2" s="44"/>
      <c r="B2" s="45"/>
      <c r="C2" s="45"/>
      <c r="D2" s="45"/>
      <c r="E2" s="39"/>
      <c r="F2" s="40"/>
      <c r="G2" s="40"/>
      <c r="H2" s="40"/>
      <c r="I2" s="40"/>
      <c r="J2" s="40"/>
      <c r="K2" s="40"/>
      <c r="L2" s="40"/>
      <c r="M2" s="41"/>
    </row>
    <row r="3" spans="1:13" ht="26.45" customHeight="1" x14ac:dyDescent="0.3">
      <c r="A3" s="25" t="s">
        <v>8</v>
      </c>
      <c r="B3" s="26"/>
      <c r="C3" s="46"/>
      <c r="D3" s="46"/>
      <c r="E3" s="27" t="s">
        <v>20</v>
      </c>
      <c r="F3" s="27"/>
      <c r="G3" s="35"/>
      <c r="H3" s="35"/>
      <c r="I3" s="35"/>
      <c r="J3" s="35"/>
      <c r="K3" s="27" t="s">
        <v>9</v>
      </c>
      <c r="L3" s="27"/>
      <c r="M3" s="23"/>
    </row>
    <row r="4" spans="1:13" ht="40.15" customHeight="1" x14ac:dyDescent="0.3">
      <c r="A4" s="25" t="s">
        <v>21</v>
      </c>
      <c r="B4" s="26"/>
      <c r="C4" s="35"/>
      <c r="D4" s="35"/>
      <c r="E4" s="27" t="s">
        <v>10</v>
      </c>
      <c r="F4" s="27"/>
      <c r="G4" s="19" t="s">
        <v>18</v>
      </c>
      <c r="H4" s="13"/>
      <c r="I4" s="19" t="s">
        <v>19</v>
      </c>
      <c r="J4" s="12"/>
      <c r="K4" s="27" t="s">
        <v>11</v>
      </c>
      <c r="L4" s="27"/>
      <c r="M4" s="23"/>
    </row>
    <row r="6" spans="1:13" ht="17.45" customHeight="1" x14ac:dyDescent="0.3"/>
    <row r="26" spans="1:13" x14ac:dyDescent="0.3">
      <c r="A26" s="28" t="s">
        <v>22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3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3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3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3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3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3"/>
    </row>
    <row r="33" spans="1:13" x14ac:dyDescent="0.3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6" spans="1:13" x14ac:dyDescent="0.3">
      <c r="A36" s="24" t="s">
        <v>16</v>
      </c>
      <c r="B36" s="24" t="s">
        <v>15</v>
      </c>
      <c r="C36" s="24" t="s">
        <v>14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3" x14ac:dyDescent="0.3">
      <c r="A37" s="24"/>
      <c r="B37" s="24"/>
      <c r="C37" s="3" t="s">
        <v>0</v>
      </c>
      <c r="D37" s="18" t="s">
        <v>1</v>
      </c>
      <c r="E37" s="18" t="s">
        <v>2</v>
      </c>
      <c r="F37" s="18" t="s">
        <v>3</v>
      </c>
      <c r="G37" s="18" t="s">
        <v>4</v>
      </c>
      <c r="H37" s="18" t="s">
        <v>5</v>
      </c>
      <c r="I37" s="18" t="s">
        <v>6</v>
      </c>
      <c r="J37" s="18" t="s">
        <v>7</v>
      </c>
      <c r="K37" s="18" t="s">
        <v>13</v>
      </c>
      <c r="L37" s="18" t="s">
        <v>12</v>
      </c>
    </row>
    <row r="38" spans="1:13" x14ac:dyDescent="0.3">
      <c r="A38" s="1">
        <v>1</v>
      </c>
      <c r="B38" s="9"/>
      <c r="C38" s="14"/>
      <c r="D38" s="14"/>
      <c r="E38" s="14"/>
      <c r="F38" s="14"/>
      <c r="G38" s="14"/>
      <c r="H38" s="14"/>
      <c r="I38" s="14"/>
      <c r="J38" s="14"/>
      <c r="K38" s="10"/>
      <c r="L38" s="10"/>
    </row>
    <row r="39" spans="1:13" x14ac:dyDescent="0.3">
      <c r="A39" s="1">
        <v>2</v>
      </c>
      <c r="B39" s="9"/>
      <c r="C39" s="14"/>
      <c r="D39" s="14"/>
      <c r="E39" s="14"/>
      <c r="F39" s="14"/>
      <c r="G39" s="14"/>
      <c r="H39" s="14"/>
      <c r="I39" s="14"/>
      <c r="J39" s="14"/>
      <c r="K39" s="10"/>
      <c r="L39" s="10"/>
    </row>
    <row r="40" spans="1:13" x14ac:dyDescent="0.3">
      <c r="A40" s="1">
        <v>3</v>
      </c>
      <c r="B40" s="9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3" x14ac:dyDescent="0.3">
      <c r="A41" s="1">
        <v>4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3" x14ac:dyDescent="0.3">
      <c r="A42" s="1">
        <v>5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3" x14ac:dyDescent="0.3">
      <c r="A43" s="1">
        <v>6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3" x14ac:dyDescent="0.3">
      <c r="A44" s="1">
        <v>7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3" x14ac:dyDescent="0.3">
      <c r="A45" s="1">
        <v>8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3" x14ac:dyDescent="0.3">
      <c r="A46" s="1">
        <v>9</v>
      </c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3" x14ac:dyDescent="0.3">
      <c r="A47" s="1">
        <v>10</v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3" x14ac:dyDescent="0.3">
      <c r="A48" s="1">
        <v>11</v>
      </c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">
        <v>12</v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">
        <v>13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">
        <v>14</v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">
        <v>15</v>
      </c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">
      <c r="A53" s="1">
        <v>16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">
      <c r="A54" s="1">
        <v>17</v>
      </c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">
      <c r="A55" s="1">
        <v>18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">
      <c r="A56" s="1">
        <v>19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">
      <c r="A57" s="1">
        <v>20</v>
      </c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">
      <c r="A58" s="1">
        <v>21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">
      <c r="A59" s="1">
        <v>22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">
      <c r="A60" s="1">
        <v>23</v>
      </c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">
      <c r="A61" s="1">
        <v>24</v>
      </c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">
      <c r="A62" s="1">
        <v>25</v>
      </c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">
      <c r="A63" s="1">
        <v>26</v>
      </c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">
      <c r="A64" s="1">
        <v>27</v>
      </c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">
      <c r="A65" s="1">
        <v>28</v>
      </c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">
      <c r="A66" s="1">
        <v>29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">
      <c r="A67" s="1">
        <v>30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70" spans="1:12" ht="17.45" customHeight="1" x14ac:dyDescent="0.3">
      <c r="A70" s="24" t="s">
        <v>16</v>
      </c>
      <c r="B70" s="11"/>
      <c r="C70" s="24" t="s">
        <v>14</v>
      </c>
      <c r="D70" s="24"/>
      <c r="E70" s="24"/>
      <c r="F70" s="24"/>
      <c r="G70" s="24"/>
      <c r="H70" s="24"/>
      <c r="I70" s="24"/>
      <c r="J70" s="24"/>
      <c r="K70" s="24"/>
      <c r="L70" s="24"/>
    </row>
    <row r="71" spans="1:12" x14ac:dyDescent="0.3">
      <c r="A71" s="24"/>
      <c r="B71" s="18" t="s">
        <v>15</v>
      </c>
      <c r="C71" s="3" t="s">
        <v>0</v>
      </c>
      <c r="D71" s="18" t="s">
        <v>1</v>
      </c>
      <c r="E71" s="18" t="s">
        <v>2</v>
      </c>
      <c r="F71" s="18" t="s">
        <v>3</v>
      </c>
      <c r="G71" s="18" t="s">
        <v>4</v>
      </c>
      <c r="H71" s="18" t="s">
        <v>5</v>
      </c>
      <c r="I71" s="18" t="s">
        <v>6</v>
      </c>
      <c r="J71" s="18" t="s">
        <v>7</v>
      </c>
      <c r="K71" s="18" t="s">
        <v>13</v>
      </c>
      <c r="L71" s="18" t="s">
        <v>12</v>
      </c>
    </row>
    <row r="72" spans="1:12" x14ac:dyDescent="0.3">
      <c r="A72" s="1">
        <v>1</v>
      </c>
      <c r="B72" s="9">
        <f t="shared" ref="B72:B77" si="0">B38</f>
        <v>0</v>
      </c>
      <c r="C72" s="10" t="e">
        <f t="shared" ref="C72:L87" si="1">IF(C38=0, NA(), C38)</f>
        <v>#N/A</v>
      </c>
      <c r="D72" s="10" t="e">
        <f t="shared" si="1"/>
        <v>#N/A</v>
      </c>
      <c r="E72" s="10" t="e">
        <f t="shared" si="1"/>
        <v>#N/A</v>
      </c>
      <c r="F72" s="10" t="e">
        <f t="shared" si="1"/>
        <v>#N/A</v>
      </c>
      <c r="G72" s="10" t="e">
        <f t="shared" si="1"/>
        <v>#N/A</v>
      </c>
      <c r="H72" s="10" t="e">
        <f t="shared" si="1"/>
        <v>#N/A</v>
      </c>
      <c r="I72" s="10" t="e">
        <f t="shared" si="1"/>
        <v>#N/A</v>
      </c>
      <c r="J72" s="10" t="e">
        <f t="shared" si="1"/>
        <v>#N/A</v>
      </c>
      <c r="K72" s="10" t="e">
        <f t="shared" si="1"/>
        <v>#N/A</v>
      </c>
      <c r="L72" s="10" t="e">
        <f t="shared" si="1"/>
        <v>#N/A</v>
      </c>
    </row>
    <row r="73" spans="1:12" x14ac:dyDescent="0.3">
      <c r="A73" s="1">
        <v>2</v>
      </c>
      <c r="B73" s="9">
        <f t="shared" si="0"/>
        <v>0</v>
      </c>
      <c r="C73" s="10" t="e">
        <f t="shared" si="1"/>
        <v>#N/A</v>
      </c>
      <c r="D73" s="10" t="e">
        <f t="shared" si="1"/>
        <v>#N/A</v>
      </c>
      <c r="E73" s="10" t="e">
        <f t="shared" si="1"/>
        <v>#N/A</v>
      </c>
      <c r="F73" s="10" t="e">
        <f t="shared" si="1"/>
        <v>#N/A</v>
      </c>
      <c r="G73" s="10" t="e">
        <f t="shared" si="1"/>
        <v>#N/A</v>
      </c>
      <c r="H73" s="10" t="e">
        <f t="shared" si="1"/>
        <v>#N/A</v>
      </c>
      <c r="I73" s="10" t="e">
        <f t="shared" si="1"/>
        <v>#N/A</v>
      </c>
      <c r="J73" s="10" t="e">
        <f t="shared" si="1"/>
        <v>#N/A</v>
      </c>
      <c r="K73" s="10" t="e">
        <f t="shared" si="1"/>
        <v>#N/A</v>
      </c>
      <c r="L73" s="10" t="e">
        <f t="shared" si="1"/>
        <v>#N/A</v>
      </c>
    </row>
    <row r="74" spans="1:12" x14ac:dyDescent="0.3">
      <c r="A74" s="1">
        <v>3</v>
      </c>
      <c r="B74" s="9">
        <f t="shared" si="0"/>
        <v>0</v>
      </c>
      <c r="C74" s="10" t="e">
        <f t="shared" si="1"/>
        <v>#N/A</v>
      </c>
      <c r="D74" s="10" t="e">
        <f t="shared" si="1"/>
        <v>#N/A</v>
      </c>
      <c r="E74" s="10" t="e">
        <f t="shared" si="1"/>
        <v>#N/A</v>
      </c>
      <c r="F74" s="10" t="e">
        <f t="shared" si="1"/>
        <v>#N/A</v>
      </c>
      <c r="G74" s="10" t="e">
        <f t="shared" si="1"/>
        <v>#N/A</v>
      </c>
      <c r="H74" s="10" t="e">
        <f t="shared" si="1"/>
        <v>#N/A</v>
      </c>
      <c r="I74" s="10" t="e">
        <f t="shared" si="1"/>
        <v>#N/A</v>
      </c>
      <c r="J74" s="10" t="e">
        <f t="shared" si="1"/>
        <v>#N/A</v>
      </c>
      <c r="K74" s="10" t="e">
        <f t="shared" si="1"/>
        <v>#N/A</v>
      </c>
      <c r="L74" s="10" t="e">
        <f t="shared" si="1"/>
        <v>#N/A</v>
      </c>
    </row>
    <row r="75" spans="1:12" x14ac:dyDescent="0.3">
      <c r="A75" s="1">
        <v>4</v>
      </c>
      <c r="B75" s="9">
        <f t="shared" si="0"/>
        <v>0</v>
      </c>
      <c r="C75" s="10" t="e">
        <f t="shared" si="1"/>
        <v>#N/A</v>
      </c>
      <c r="D75" s="10" t="e">
        <f t="shared" si="1"/>
        <v>#N/A</v>
      </c>
      <c r="E75" s="10" t="e">
        <f t="shared" si="1"/>
        <v>#N/A</v>
      </c>
      <c r="F75" s="10" t="e">
        <f t="shared" si="1"/>
        <v>#N/A</v>
      </c>
      <c r="G75" s="10" t="e">
        <f t="shared" si="1"/>
        <v>#N/A</v>
      </c>
      <c r="H75" s="10" t="e">
        <f t="shared" si="1"/>
        <v>#N/A</v>
      </c>
      <c r="I75" s="10" t="e">
        <f t="shared" si="1"/>
        <v>#N/A</v>
      </c>
      <c r="J75" s="10" t="e">
        <f t="shared" si="1"/>
        <v>#N/A</v>
      </c>
      <c r="K75" s="10" t="e">
        <f t="shared" si="1"/>
        <v>#N/A</v>
      </c>
      <c r="L75" s="10" t="e">
        <f t="shared" si="1"/>
        <v>#N/A</v>
      </c>
    </row>
    <row r="76" spans="1:12" x14ac:dyDescent="0.3">
      <c r="A76" s="1">
        <v>5</v>
      </c>
      <c r="B76" s="9">
        <f t="shared" si="0"/>
        <v>0</v>
      </c>
      <c r="C76" s="10" t="e">
        <f t="shared" si="1"/>
        <v>#N/A</v>
      </c>
      <c r="D76" s="10" t="e">
        <f t="shared" si="1"/>
        <v>#N/A</v>
      </c>
      <c r="E76" s="10" t="e">
        <f t="shared" si="1"/>
        <v>#N/A</v>
      </c>
      <c r="F76" s="10" t="e">
        <f t="shared" si="1"/>
        <v>#N/A</v>
      </c>
      <c r="G76" s="10" t="e">
        <f t="shared" si="1"/>
        <v>#N/A</v>
      </c>
      <c r="H76" s="10" t="e">
        <f t="shared" si="1"/>
        <v>#N/A</v>
      </c>
      <c r="I76" s="10" t="e">
        <f t="shared" si="1"/>
        <v>#N/A</v>
      </c>
      <c r="J76" s="10" t="e">
        <f t="shared" si="1"/>
        <v>#N/A</v>
      </c>
      <c r="K76" s="10" t="e">
        <f t="shared" si="1"/>
        <v>#N/A</v>
      </c>
      <c r="L76" s="10" t="e">
        <f t="shared" si="1"/>
        <v>#N/A</v>
      </c>
    </row>
    <row r="77" spans="1:12" x14ac:dyDescent="0.3">
      <c r="A77" s="1">
        <v>6</v>
      </c>
      <c r="B77" s="9">
        <f t="shared" si="0"/>
        <v>0</v>
      </c>
      <c r="C77" s="10" t="e">
        <f t="shared" si="1"/>
        <v>#N/A</v>
      </c>
      <c r="D77" s="10" t="e">
        <f t="shared" si="1"/>
        <v>#N/A</v>
      </c>
      <c r="E77" s="10" t="e">
        <f t="shared" si="1"/>
        <v>#N/A</v>
      </c>
      <c r="F77" s="10" t="e">
        <f t="shared" si="1"/>
        <v>#N/A</v>
      </c>
      <c r="G77" s="10" t="e">
        <f t="shared" si="1"/>
        <v>#N/A</v>
      </c>
      <c r="H77" s="10" t="e">
        <f t="shared" si="1"/>
        <v>#N/A</v>
      </c>
      <c r="I77" s="10" t="e">
        <f t="shared" si="1"/>
        <v>#N/A</v>
      </c>
      <c r="J77" s="10" t="e">
        <f t="shared" si="1"/>
        <v>#N/A</v>
      </c>
      <c r="K77" s="10" t="e">
        <f t="shared" si="1"/>
        <v>#N/A</v>
      </c>
      <c r="L77" s="10" t="e">
        <f t="shared" si="1"/>
        <v>#N/A</v>
      </c>
    </row>
    <row r="78" spans="1:12" x14ac:dyDescent="0.3">
      <c r="A78" s="1">
        <v>7</v>
      </c>
      <c r="B78" s="9">
        <f>B44</f>
        <v>0</v>
      </c>
      <c r="C78" s="10" t="e">
        <f t="shared" si="1"/>
        <v>#N/A</v>
      </c>
      <c r="D78" s="10" t="e">
        <f t="shared" si="1"/>
        <v>#N/A</v>
      </c>
      <c r="E78" s="10" t="e">
        <f t="shared" si="1"/>
        <v>#N/A</v>
      </c>
      <c r="F78" s="10" t="e">
        <f t="shared" si="1"/>
        <v>#N/A</v>
      </c>
      <c r="G78" s="10" t="e">
        <f t="shared" si="1"/>
        <v>#N/A</v>
      </c>
      <c r="H78" s="10" t="e">
        <f t="shared" ref="H78:L78" si="2">IF(H45=0, NA(), H45)</f>
        <v>#N/A</v>
      </c>
      <c r="I78" s="10" t="e">
        <f t="shared" si="2"/>
        <v>#N/A</v>
      </c>
      <c r="J78" s="10" t="e">
        <f t="shared" si="2"/>
        <v>#N/A</v>
      </c>
      <c r="K78" s="10" t="e">
        <f t="shared" si="2"/>
        <v>#N/A</v>
      </c>
      <c r="L78" s="10" t="e">
        <f t="shared" si="2"/>
        <v>#N/A</v>
      </c>
    </row>
    <row r="79" spans="1:12" x14ac:dyDescent="0.3">
      <c r="A79" s="1">
        <v>8</v>
      </c>
      <c r="B79" s="9">
        <f>B45</f>
        <v>0</v>
      </c>
      <c r="C79" s="10" t="e">
        <f t="shared" si="1"/>
        <v>#N/A</v>
      </c>
      <c r="D79" s="10" t="e">
        <f t="shared" si="1"/>
        <v>#N/A</v>
      </c>
      <c r="E79" s="10" t="e">
        <f t="shared" si="1"/>
        <v>#N/A</v>
      </c>
      <c r="F79" s="10" t="e">
        <f t="shared" si="1"/>
        <v>#N/A</v>
      </c>
      <c r="G79" s="10" t="e">
        <f t="shared" si="1"/>
        <v>#N/A</v>
      </c>
      <c r="H79" s="10" t="e">
        <f t="shared" si="1"/>
        <v>#N/A</v>
      </c>
      <c r="I79" s="10" t="e">
        <f t="shared" si="1"/>
        <v>#N/A</v>
      </c>
      <c r="J79" s="10" t="e">
        <f t="shared" si="1"/>
        <v>#N/A</v>
      </c>
      <c r="K79" s="10" t="e">
        <f t="shared" si="1"/>
        <v>#N/A</v>
      </c>
      <c r="L79" s="10" t="e">
        <f t="shared" si="1"/>
        <v>#N/A</v>
      </c>
    </row>
    <row r="80" spans="1:12" x14ac:dyDescent="0.3">
      <c r="A80" s="1">
        <v>9</v>
      </c>
      <c r="B80" s="9">
        <f t="shared" ref="B80:B100" si="3">B47</f>
        <v>0</v>
      </c>
      <c r="C80" s="10" t="e">
        <f t="shared" si="1"/>
        <v>#N/A</v>
      </c>
      <c r="D80" s="10" t="e">
        <f t="shared" si="1"/>
        <v>#N/A</v>
      </c>
      <c r="E80" s="10" t="e">
        <f t="shared" si="1"/>
        <v>#N/A</v>
      </c>
      <c r="F80" s="10" t="e">
        <f t="shared" si="1"/>
        <v>#N/A</v>
      </c>
      <c r="G80" s="10" t="e">
        <f t="shared" si="1"/>
        <v>#N/A</v>
      </c>
      <c r="H80" s="10" t="e">
        <f t="shared" si="1"/>
        <v>#N/A</v>
      </c>
      <c r="I80" s="10" t="e">
        <f t="shared" si="1"/>
        <v>#N/A</v>
      </c>
      <c r="J80" s="10" t="e">
        <f t="shared" si="1"/>
        <v>#N/A</v>
      </c>
      <c r="K80" s="10" t="e">
        <f t="shared" si="1"/>
        <v>#N/A</v>
      </c>
      <c r="L80" s="10" t="e">
        <f t="shared" si="1"/>
        <v>#N/A</v>
      </c>
    </row>
    <row r="81" spans="1:12" x14ac:dyDescent="0.3">
      <c r="A81" s="1">
        <v>10</v>
      </c>
      <c r="B81" s="9">
        <f t="shared" si="3"/>
        <v>0</v>
      </c>
      <c r="C81" s="10" t="e">
        <f t="shared" si="1"/>
        <v>#N/A</v>
      </c>
      <c r="D81" s="10" t="e">
        <f t="shared" si="1"/>
        <v>#N/A</v>
      </c>
      <c r="E81" s="10" t="e">
        <f t="shared" si="1"/>
        <v>#N/A</v>
      </c>
      <c r="F81" s="10" t="e">
        <f t="shared" si="1"/>
        <v>#N/A</v>
      </c>
      <c r="G81" s="10" t="e">
        <f t="shared" si="1"/>
        <v>#N/A</v>
      </c>
      <c r="H81" s="10" t="e">
        <f t="shared" si="1"/>
        <v>#N/A</v>
      </c>
      <c r="I81" s="10" t="e">
        <f t="shared" si="1"/>
        <v>#N/A</v>
      </c>
      <c r="J81" s="10" t="e">
        <f t="shared" si="1"/>
        <v>#N/A</v>
      </c>
      <c r="K81" s="10" t="e">
        <f t="shared" si="1"/>
        <v>#N/A</v>
      </c>
      <c r="L81" s="10" t="e">
        <f t="shared" si="1"/>
        <v>#N/A</v>
      </c>
    </row>
    <row r="82" spans="1:12" x14ac:dyDescent="0.3">
      <c r="A82" s="1">
        <v>11</v>
      </c>
      <c r="B82" s="9">
        <f t="shared" si="3"/>
        <v>0</v>
      </c>
      <c r="C82" s="10" t="e">
        <f t="shared" si="1"/>
        <v>#N/A</v>
      </c>
      <c r="D82" s="10" t="e">
        <f t="shared" si="1"/>
        <v>#N/A</v>
      </c>
      <c r="E82" s="10" t="e">
        <f t="shared" si="1"/>
        <v>#N/A</v>
      </c>
      <c r="F82" s="10" t="e">
        <f t="shared" si="1"/>
        <v>#N/A</v>
      </c>
      <c r="G82" s="10" t="e">
        <f t="shared" si="1"/>
        <v>#N/A</v>
      </c>
      <c r="H82" s="10" t="e">
        <f t="shared" ref="H82:L82" si="4">IF(H49=0, NA(), H49)</f>
        <v>#N/A</v>
      </c>
      <c r="I82" s="10" t="e">
        <f t="shared" si="4"/>
        <v>#N/A</v>
      </c>
      <c r="J82" s="10" t="e">
        <f t="shared" si="4"/>
        <v>#N/A</v>
      </c>
      <c r="K82" s="10" t="e">
        <f t="shared" si="4"/>
        <v>#N/A</v>
      </c>
      <c r="L82" s="10" t="e">
        <f t="shared" si="4"/>
        <v>#N/A</v>
      </c>
    </row>
    <row r="83" spans="1:12" x14ac:dyDescent="0.3">
      <c r="A83" s="1">
        <v>12</v>
      </c>
      <c r="B83" s="9">
        <f t="shared" si="3"/>
        <v>0</v>
      </c>
      <c r="C83" s="10" t="e">
        <f t="shared" ref="C83:L98" si="5">IF(C50=0, NA(), C50)</f>
        <v>#N/A</v>
      </c>
      <c r="D83" s="10" t="e">
        <f t="shared" si="1"/>
        <v>#N/A</v>
      </c>
      <c r="E83" s="10" t="e">
        <f t="shared" si="1"/>
        <v>#N/A</v>
      </c>
      <c r="F83" s="10" t="e">
        <f t="shared" si="1"/>
        <v>#N/A</v>
      </c>
      <c r="G83" s="10" t="e">
        <f t="shared" si="1"/>
        <v>#N/A</v>
      </c>
      <c r="H83" s="10" t="e">
        <f t="shared" si="1"/>
        <v>#N/A</v>
      </c>
      <c r="I83" s="10" t="e">
        <f t="shared" si="1"/>
        <v>#N/A</v>
      </c>
      <c r="J83" s="10" t="e">
        <f t="shared" si="1"/>
        <v>#N/A</v>
      </c>
      <c r="K83" s="10" t="e">
        <f t="shared" si="1"/>
        <v>#N/A</v>
      </c>
      <c r="L83" s="10" t="e">
        <f t="shared" si="1"/>
        <v>#N/A</v>
      </c>
    </row>
    <row r="84" spans="1:12" x14ac:dyDescent="0.3">
      <c r="A84" s="1">
        <v>13</v>
      </c>
      <c r="B84" s="9">
        <f t="shared" si="3"/>
        <v>0</v>
      </c>
      <c r="C84" s="10" t="e">
        <f t="shared" si="5"/>
        <v>#N/A</v>
      </c>
      <c r="D84" s="10" t="e">
        <f t="shared" si="1"/>
        <v>#N/A</v>
      </c>
      <c r="E84" s="10" t="e">
        <f t="shared" si="1"/>
        <v>#N/A</v>
      </c>
      <c r="F84" s="10" t="e">
        <f t="shared" si="1"/>
        <v>#N/A</v>
      </c>
      <c r="G84" s="10" t="e">
        <f t="shared" si="1"/>
        <v>#N/A</v>
      </c>
      <c r="H84" s="10" t="e">
        <f t="shared" si="1"/>
        <v>#N/A</v>
      </c>
      <c r="I84" s="10" t="e">
        <f t="shared" si="1"/>
        <v>#N/A</v>
      </c>
      <c r="J84" s="10" t="e">
        <f t="shared" si="1"/>
        <v>#N/A</v>
      </c>
      <c r="K84" s="10" t="e">
        <f t="shared" si="1"/>
        <v>#N/A</v>
      </c>
      <c r="L84" s="10" t="e">
        <f t="shared" si="1"/>
        <v>#N/A</v>
      </c>
    </row>
    <row r="85" spans="1:12" x14ac:dyDescent="0.3">
      <c r="A85" s="1">
        <v>14</v>
      </c>
      <c r="B85" s="9">
        <f t="shared" si="3"/>
        <v>0</v>
      </c>
      <c r="C85" s="10" t="e">
        <f t="shared" si="5"/>
        <v>#N/A</v>
      </c>
      <c r="D85" s="10" t="e">
        <f t="shared" si="1"/>
        <v>#N/A</v>
      </c>
      <c r="E85" s="10" t="e">
        <f t="shared" si="1"/>
        <v>#N/A</v>
      </c>
      <c r="F85" s="10" t="e">
        <f t="shared" si="1"/>
        <v>#N/A</v>
      </c>
      <c r="G85" s="10" t="e">
        <f t="shared" si="1"/>
        <v>#N/A</v>
      </c>
      <c r="H85" s="10" t="e">
        <f t="shared" si="1"/>
        <v>#N/A</v>
      </c>
      <c r="I85" s="10" t="e">
        <f t="shared" si="1"/>
        <v>#N/A</v>
      </c>
      <c r="J85" s="10" t="e">
        <f t="shared" si="1"/>
        <v>#N/A</v>
      </c>
      <c r="K85" s="10" t="e">
        <f t="shared" si="1"/>
        <v>#N/A</v>
      </c>
      <c r="L85" s="10" t="e">
        <f t="shared" si="1"/>
        <v>#N/A</v>
      </c>
    </row>
    <row r="86" spans="1:12" x14ac:dyDescent="0.3">
      <c r="A86" s="1">
        <v>15</v>
      </c>
      <c r="B86" s="9">
        <f t="shared" si="3"/>
        <v>0</v>
      </c>
      <c r="C86" s="10" t="e">
        <f t="shared" si="5"/>
        <v>#N/A</v>
      </c>
      <c r="D86" s="10" t="e">
        <f t="shared" si="1"/>
        <v>#N/A</v>
      </c>
      <c r="E86" s="10" t="e">
        <f t="shared" si="1"/>
        <v>#N/A</v>
      </c>
      <c r="F86" s="10" t="e">
        <f t="shared" si="1"/>
        <v>#N/A</v>
      </c>
      <c r="G86" s="10" t="e">
        <f t="shared" si="1"/>
        <v>#N/A</v>
      </c>
      <c r="H86" s="10" t="e">
        <f t="shared" si="5"/>
        <v>#N/A</v>
      </c>
      <c r="I86" s="10" t="e">
        <f t="shared" si="5"/>
        <v>#N/A</v>
      </c>
      <c r="J86" s="10" t="e">
        <f t="shared" si="5"/>
        <v>#N/A</v>
      </c>
      <c r="K86" s="10" t="e">
        <f t="shared" si="5"/>
        <v>#N/A</v>
      </c>
      <c r="L86" s="10" t="e">
        <f t="shared" si="5"/>
        <v>#N/A</v>
      </c>
    </row>
    <row r="87" spans="1:12" x14ac:dyDescent="0.3">
      <c r="A87" s="1">
        <v>16</v>
      </c>
      <c r="B87" s="9">
        <f t="shared" si="3"/>
        <v>0</v>
      </c>
      <c r="C87" s="10" t="e">
        <f t="shared" si="5"/>
        <v>#N/A</v>
      </c>
      <c r="D87" s="10" t="e">
        <f t="shared" si="1"/>
        <v>#N/A</v>
      </c>
      <c r="E87" s="10" t="e">
        <f t="shared" si="1"/>
        <v>#N/A</v>
      </c>
      <c r="F87" s="10" t="e">
        <f t="shared" si="1"/>
        <v>#N/A</v>
      </c>
      <c r="G87" s="10" t="e">
        <f t="shared" si="1"/>
        <v>#N/A</v>
      </c>
      <c r="H87" s="10" t="e">
        <f t="shared" si="5"/>
        <v>#N/A</v>
      </c>
      <c r="I87" s="10" t="e">
        <f t="shared" si="5"/>
        <v>#N/A</v>
      </c>
      <c r="J87" s="10" t="e">
        <f t="shared" si="5"/>
        <v>#N/A</v>
      </c>
      <c r="K87" s="10" t="e">
        <f t="shared" si="5"/>
        <v>#N/A</v>
      </c>
      <c r="L87" s="10" t="e">
        <f t="shared" si="5"/>
        <v>#N/A</v>
      </c>
    </row>
    <row r="88" spans="1:12" x14ac:dyDescent="0.3">
      <c r="A88" s="1">
        <v>17</v>
      </c>
      <c r="B88" s="9">
        <f t="shared" si="3"/>
        <v>0</v>
      </c>
      <c r="C88" s="10" t="e">
        <f t="shared" si="5"/>
        <v>#N/A</v>
      </c>
      <c r="D88" s="10" t="e">
        <f t="shared" ref="D88:G100" si="6">IF(D54=0, NA(), D54)</f>
        <v>#N/A</v>
      </c>
      <c r="E88" s="10" t="e">
        <f t="shared" si="6"/>
        <v>#N/A</v>
      </c>
      <c r="F88" s="10" t="e">
        <f t="shared" si="6"/>
        <v>#N/A</v>
      </c>
      <c r="G88" s="10" t="e">
        <f t="shared" si="6"/>
        <v>#N/A</v>
      </c>
      <c r="H88" s="10" t="e">
        <f t="shared" si="5"/>
        <v>#N/A</v>
      </c>
      <c r="I88" s="10" t="e">
        <f t="shared" si="5"/>
        <v>#N/A</v>
      </c>
      <c r="J88" s="10" t="e">
        <f t="shared" si="5"/>
        <v>#N/A</v>
      </c>
      <c r="K88" s="10" t="e">
        <f t="shared" si="5"/>
        <v>#N/A</v>
      </c>
      <c r="L88" s="10" t="e">
        <f t="shared" si="5"/>
        <v>#N/A</v>
      </c>
    </row>
    <row r="89" spans="1:12" x14ac:dyDescent="0.3">
      <c r="A89" s="1">
        <v>18</v>
      </c>
      <c r="B89" s="9">
        <f t="shared" si="3"/>
        <v>0</v>
      </c>
      <c r="C89" s="10" t="e">
        <f t="shared" si="5"/>
        <v>#N/A</v>
      </c>
      <c r="D89" s="10" t="e">
        <f t="shared" si="6"/>
        <v>#N/A</v>
      </c>
      <c r="E89" s="10" t="e">
        <f t="shared" si="6"/>
        <v>#N/A</v>
      </c>
      <c r="F89" s="10" t="e">
        <f t="shared" si="6"/>
        <v>#N/A</v>
      </c>
      <c r="G89" s="10" t="e">
        <f t="shared" si="6"/>
        <v>#N/A</v>
      </c>
      <c r="H89" s="10" t="e">
        <f t="shared" si="5"/>
        <v>#N/A</v>
      </c>
      <c r="I89" s="10" t="e">
        <f t="shared" si="5"/>
        <v>#N/A</v>
      </c>
      <c r="J89" s="10" t="e">
        <f t="shared" si="5"/>
        <v>#N/A</v>
      </c>
      <c r="K89" s="10" t="e">
        <f t="shared" si="5"/>
        <v>#N/A</v>
      </c>
      <c r="L89" s="10" t="e">
        <f t="shared" si="5"/>
        <v>#N/A</v>
      </c>
    </row>
    <row r="90" spans="1:12" x14ac:dyDescent="0.3">
      <c r="A90" s="1">
        <v>19</v>
      </c>
      <c r="B90" s="9">
        <f t="shared" si="3"/>
        <v>0</v>
      </c>
      <c r="C90" s="10" t="e">
        <f t="shared" si="5"/>
        <v>#N/A</v>
      </c>
      <c r="D90" s="10" t="e">
        <f t="shared" si="6"/>
        <v>#N/A</v>
      </c>
      <c r="E90" s="10" t="e">
        <f t="shared" si="6"/>
        <v>#N/A</v>
      </c>
      <c r="F90" s="10" t="e">
        <f t="shared" si="6"/>
        <v>#N/A</v>
      </c>
      <c r="G90" s="10" t="e">
        <f t="shared" si="6"/>
        <v>#N/A</v>
      </c>
      <c r="H90" s="10" t="e">
        <f t="shared" si="5"/>
        <v>#N/A</v>
      </c>
      <c r="I90" s="10" t="e">
        <f t="shared" si="5"/>
        <v>#N/A</v>
      </c>
      <c r="J90" s="10" t="e">
        <f t="shared" si="5"/>
        <v>#N/A</v>
      </c>
      <c r="K90" s="10" t="e">
        <f t="shared" si="5"/>
        <v>#N/A</v>
      </c>
      <c r="L90" s="10" t="e">
        <f t="shared" si="5"/>
        <v>#N/A</v>
      </c>
    </row>
    <row r="91" spans="1:12" x14ac:dyDescent="0.3">
      <c r="A91" s="1">
        <v>20</v>
      </c>
      <c r="B91" s="9">
        <f t="shared" si="3"/>
        <v>0</v>
      </c>
      <c r="C91" s="10" t="e">
        <f t="shared" si="5"/>
        <v>#N/A</v>
      </c>
      <c r="D91" s="10" t="e">
        <f t="shared" si="6"/>
        <v>#N/A</v>
      </c>
      <c r="E91" s="10" t="e">
        <f t="shared" si="6"/>
        <v>#N/A</v>
      </c>
      <c r="F91" s="10" t="e">
        <f t="shared" si="6"/>
        <v>#N/A</v>
      </c>
      <c r="G91" s="10" t="e">
        <f t="shared" si="6"/>
        <v>#N/A</v>
      </c>
      <c r="H91" s="10" t="e">
        <f t="shared" si="5"/>
        <v>#N/A</v>
      </c>
      <c r="I91" s="10" t="e">
        <f t="shared" si="5"/>
        <v>#N/A</v>
      </c>
      <c r="J91" s="10" t="e">
        <f t="shared" si="5"/>
        <v>#N/A</v>
      </c>
      <c r="K91" s="10" t="e">
        <f t="shared" si="5"/>
        <v>#N/A</v>
      </c>
      <c r="L91" s="10" t="e">
        <f t="shared" si="5"/>
        <v>#N/A</v>
      </c>
    </row>
    <row r="92" spans="1:12" x14ac:dyDescent="0.3">
      <c r="A92" s="1">
        <v>21</v>
      </c>
      <c r="B92" s="9">
        <f t="shared" si="3"/>
        <v>0</v>
      </c>
      <c r="C92" s="10" t="e">
        <f t="shared" si="5"/>
        <v>#N/A</v>
      </c>
      <c r="D92" s="10" t="e">
        <f t="shared" si="6"/>
        <v>#N/A</v>
      </c>
      <c r="E92" s="10" t="e">
        <f t="shared" si="6"/>
        <v>#N/A</v>
      </c>
      <c r="F92" s="10" t="e">
        <f t="shared" si="6"/>
        <v>#N/A</v>
      </c>
      <c r="G92" s="10" t="e">
        <f t="shared" si="6"/>
        <v>#N/A</v>
      </c>
      <c r="H92" s="10" t="e">
        <f t="shared" si="5"/>
        <v>#N/A</v>
      </c>
      <c r="I92" s="10" t="e">
        <f t="shared" si="5"/>
        <v>#N/A</v>
      </c>
      <c r="J92" s="10" t="e">
        <f t="shared" si="5"/>
        <v>#N/A</v>
      </c>
      <c r="K92" s="10" t="e">
        <f t="shared" si="5"/>
        <v>#N/A</v>
      </c>
      <c r="L92" s="10" t="e">
        <f t="shared" si="5"/>
        <v>#N/A</v>
      </c>
    </row>
    <row r="93" spans="1:12" x14ac:dyDescent="0.3">
      <c r="A93" s="1">
        <v>22</v>
      </c>
      <c r="B93" s="9">
        <f t="shared" si="3"/>
        <v>0</v>
      </c>
      <c r="C93" s="10" t="e">
        <f t="shared" si="5"/>
        <v>#N/A</v>
      </c>
      <c r="D93" s="10" t="e">
        <f t="shared" si="6"/>
        <v>#N/A</v>
      </c>
      <c r="E93" s="10" t="e">
        <f t="shared" si="6"/>
        <v>#N/A</v>
      </c>
      <c r="F93" s="10" t="e">
        <f t="shared" si="6"/>
        <v>#N/A</v>
      </c>
      <c r="G93" s="10" t="e">
        <f t="shared" si="6"/>
        <v>#N/A</v>
      </c>
      <c r="H93" s="10" t="e">
        <f t="shared" si="5"/>
        <v>#N/A</v>
      </c>
      <c r="I93" s="10" t="e">
        <f t="shared" si="5"/>
        <v>#N/A</v>
      </c>
      <c r="J93" s="10" t="e">
        <f t="shared" si="5"/>
        <v>#N/A</v>
      </c>
      <c r="K93" s="10" t="e">
        <f t="shared" si="5"/>
        <v>#N/A</v>
      </c>
      <c r="L93" s="10" t="e">
        <f t="shared" si="5"/>
        <v>#N/A</v>
      </c>
    </row>
    <row r="94" spans="1:12" x14ac:dyDescent="0.3">
      <c r="A94" s="1">
        <v>23</v>
      </c>
      <c r="B94" s="9">
        <f t="shared" si="3"/>
        <v>0</v>
      </c>
      <c r="C94" s="10" t="e">
        <f t="shared" si="5"/>
        <v>#N/A</v>
      </c>
      <c r="D94" s="10" t="e">
        <f t="shared" si="6"/>
        <v>#N/A</v>
      </c>
      <c r="E94" s="10" t="e">
        <f t="shared" si="6"/>
        <v>#N/A</v>
      </c>
      <c r="F94" s="10" t="e">
        <f t="shared" si="6"/>
        <v>#N/A</v>
      </c>
      <c r="G94" s="10" t="e">
        <f t="shared" si="6"/>
        <v>#N/A</v>
      </c>
      <c r="H94" s="10" t="e">
        <f t="shared" si="5"/>
        <v>#N/A</v>
      </c>
      <c r="I94" s="10" t="e">
        <f t="shared" si="5"/>
        <v>#N/A</v>
      </c>
      <c r="J94" s="10" t="e">
        <f t="shared" si="5"/>
        <v>#N/A</v>
      </c>
      <c r="K94" s="10" t="e">
        <f t="shared" si="5"/>
        <v>#N/A</v>
      </c>
      <c r="L94" s="10" t="e">
        <f t="shared" si="5"/>
        <v>#N/A</v>
      </c>
    </row>
    <row r="95" spans="1:12" x14ac:dyDescent="0.3">
      <c r="A95" s="1">
        <v>24</v>
      </c>
      <c r="B95" s="9">
        <f t="shared" si="3"/>
        <v>0</v>
      </c>
      <c r="C95" s="10" t="e">
        <f t="shared" si="5"/>
        <v>#N/A</v>
      </c>
      <c r="D95" s="10" t="e">
        <f t="shared" si="6"/>
        <v>#N/A</v>
      </c>
      <c r="E95" s="10" t="e">
        <f t="shared" si="6"/>
        <v>#N/A</v>
      </c>
      <c r="F95" s="10" t="e">
        <f t="shared" si="6"/>
        <v>#N/A</v>
      </c>
      <c r="G95" s="10" t="e">
        <f t="shared" si="6"/>
        <v>#N/A</v>
      </c>
      <c r="H95" s="10" t="e">
        <f t="shared" si="5"/>
        <v>#N/A</v>
      </c>
      <c r="I95" s="10" t="e">
        <f t="shared" si="5"/>
        <v>#N/A</v>
      </c>
      <c r="J95" s="10" t="e">
        <f t="shared" si="5"/>
        <v>#N/A</v>
      </c>
      <c r="K95" s="10" t="e">
        <f t="shared" si="5"/>
        <v>#N/A</v>
      </c>
      <c r="L95" s="10" t="e">
        <f t="shared" si="5"/>
        <v>#N/A</v>
      </c>
    </row>
    <row r="96" spans="1:12" x14ac:dyDescent="0.3">
      <c r="A96" s="1">
        <v>25</v>
      </c>
      <c r="B96" s="9">
        <f t="shared" si="3"/>
        <v>0</v>
      </c>
      <c r="C96" s="10" t="e">
        <f t="shared" si="5"/>
        <v>#N/A</v>
      </c>
      <c r="D96" s="10" t="e">
        <f t="shared" si="6"/>
        <v>#N/A</v>
      </c>
      <c r="E96" s="10" t="e">
        <f t="shared" si="6"/>
        <v>#N/A</v>
      </c>
      <c r="F96" s="10" t="e">
        <f t="shared" si="6"/>
        <v>#N/A</v>
      </c>
      <c r="G96" s="10" t="e">
        <f t="shared" si="6"/>
        <v>#N/A</v>
      </c>
      <c r="H96" s="10" t="e">
        <f t="shared" si="5"/>
        <v>#N/A</v>
      </c>
      <c r="I96" s="10" t="e">
        <f t="shared" si="5"/>
        <v>#N/A</v>
      </c>
      <c r="J96" s="10" t="e">
        <f t="shared" si="5"/>
        <v>#N/A</v>
      </c>
      <c r="K96" s="10" t="e">
        <f t="shared" si="5"/>
        <v>#N/A</v>
      </c>
      <c r="L96" s="10" t="e">
        <f t="shared" si="5"/>
        <v>#N/A</v>
      </c>
    </row>
    <row r="97" spans="1:12" x14ac:dyDescent="0.3">
      <c r="A97" s="1">
        <v>26</v>
      </c>
      <c r="B97" s="9">
        <f t="shared" si="3"/>
        <v>0</v>
      </c>
      <c r="C97" s="10" t="e">
        <f t="shared" si="5"/>
        <v>#N/A</v>
      </c>
      <c r="D97" s="10" t="e">
        <f t="shared" si="6"/>
        <v>#N/A</v>
      </c>
      <c r="E97" s="10" t="e">
        <f t="shared" si="6"/>
        <v>#N/A</v>
      </c>
      <c r="F97" s="10" t="e">
        <f t="shared" si="6"/>
        <v>#N/A</v>
      </c>
      <c r="G97" s="10" t="e">
        <f t="shared" si="6"/>
        <v>#N/A</v>
      </c>
      <c r="H97" s="10" t="e">
        <f t="shared" si="5"/>
        <v>#N/A</v>
      </c>
      <c r="I97" s="10" t="e">
        <f t="shared" si="5"/>
        <v>#N/A</v>
      </c>
      <c r="J97" s="10" t="e">
        <f t="shared" si="5"/>
        <v>#N/A</v>
      </c>
      <c r="K97" s="10" t="e">
        <f t="shared" si="5"/>
        <v>#N/A</v>
      </c>
      <c r="L97" s="10" t="e">
        <f t="shared" si="5"/>
        <v>#N/A</v>
      </c>
    </row>
    <row r="98" spans="1:12" x14ac:dyDescent="0.3">
      <c r="A98" s="1">
        <v>27</v>
      </c>
      <c r="B98" s="9">
        <f t="shared" si="3"/>
        <v>0</v>
      </c>
      <c r="C98" s="10" t="e">
        <f t="shared" si="5"/>
        <v>#N/A</v>
      </c>
      <c r="D98" s="10" t="e">
        <f t="shared" si="6"/>
        <v>#N/A</v>
      </c>
      <c r="E98" s="10" t="e">
        <f t="shared" si="6"/>
        <v>#N/A</v>
      </c>
      <c r="F98" s="10" t="e">
        <f t="shared" si="6"/>
        <v>#N/A</v>
      </c>
      <c r="G98" s="10" t="e">
        <f t="shared" si="6"/>
        <v>#N/A</v>
      </c>
      <c r="H98" s="10" t="e">
        <f t="shared" si="5"/>
        <v>#N/A</v>
      </c>
      <c r="I98" s="10" t="e">
        <f t="shared" si="5"/>
        <v>#N/A</v>
      </c>
      <c r="J98" s="10" t="e">
        <f t="shared" si="5"/>
        <v>#N/A</v>
      </c>
      <c r="K98" s="10" t="e">
        <f t="shared" si="5"/>
        <v>#N/A</v>
      </c>
      <c r="L98" s="10" t="e">
        <f t="shared" si="5"/>
        <v>#N/A</v>
      </c>
    </row>
    <row r="99" spans="1:12" x14ac:dyDescent="0.3">
      <c r="A99" s="1">
        <v>28</v>
      </c>
      <c r="B99" s="9">
        <f t="shared" si="3"/>
        <v>0</v>
      </c>
      <c r="C99" s="10" t="e">
        <f t="shared" ref="C99:L100" si="7">IF(C66=0, NA(), C66)</f>
        <v>#N/A</v>
      </c>
      <c r="D99" s="10" t="e">
        <f t="shared" si="6"/>
        <v>#N/A</v>
      </c>
      <c r="E99" s="10" t="e">
        <f t="shared" si="6"/>
        <v>#N/A</v>
      </c>
      <c r="F99" s="10" t="e">
        <f t="shared" si="6"/>
        <v>#N/A</v>
      </c>
      <c r="G99" s="10" t="e">
        <f t="shared" si="6"/>
        <v>#N/A</v>
      </c>
      <c r="H99" s="10" t="e">
        <f t="shared" si="7"/>
        <v>#N/A</v>
      </c>
      <c r="I99" s="10" t="e">
        <f t="shared" si="7"/>
        <v>#N/A</v>
      </c>
      <c r="J99" s="10" t="e">
        <f t="shared" si="7"/>
        <v>#N/A</v>
      </c>
      <c r="K99" s="10" t="e">
        <f t="shared" si="7"/>
        <v>#N/A</v>
      </c>
      <c r="L99" s="10" t="e">
        <f t="shared" si="7"/>
        <v>#N/A</v>
      </c>
    </row>
    <row r="100" spans="1:12" x14ac:dyDescent="0.3">
      <c r="A100" s="1">
        <v>29</v>
      </c>
      <c r="B100" s="9">
        <f t="shared" si="3"/>
        <v>0</v>
      </c>
      <c r="C100" s="10" t="e">
        <f t="shared" si="7"/>
        <v>#N/A</v>
      </c>
      <c r="D100" s="10" t="e">
        <f t="shared" si="6"/>
        <v>#N/A</v>
      </c>
      <c r="E100" s="10" t="e">
        <f t="shared" si="6"/>
        <v>#N/A</v>
      </c>
      <c r="F100" s="10" t="e">
        <f t="shared" si="6"/>
        <v>#N/A</v>
      </c>
      <c r="G100" s="10" t="e">
        <f t="shared" si="6"/>
        <v>#N/A</v>
      </c>
      <c r="H100" s="10" t="e">
        <f t="shared" si="7"/>
        <v>#N/A</v>
      </c>
      <c r="I100" s="10" t="e">
        <f t="shared" si="7"/>
        <v>#N/A</v>
      </c>
      <c r="J100" s="10" t="e">
        <f t="shared" si="7"/>
        <v>#N/A</v>
      </c>
      <c r="K100" s="10" t="e">
        <f t="shared" si="7"/>
        <v>#N/A</v>
      </c>
      <c r="L100" s="10" t="e">
        <f t="shared" si="7"/>
        <v>#N/A</v>
      </c>
    </row>
    <row r="101" spans="1:12" x14ac:dyDescent="0.3">
      <c r="A101" s="1">
        <v>30</v>
      </c>
      <c r="B101" s="9" t="e">
        <f>#REF!</f>
        <v>#REF!</v>
      </c>
      <c r="C101" s="10" t="e">
        <f xml:space="preserve"> IF(#REF!=0, NA(),#REF!)</f>
        <v>#REF!</v>
      </c>
      <c r="D101" s="10" t="e">
        <f xml:space="preserve"> IF(#REF!=0, NA(),#REF!)</f>
        <v>#REF!</v>
      </c>
      <c r="E101" s="10" t="e">
        <f xml:space="preserve"> IF(#REF!=0, NA(),#REF!)</f>
        <v>#REF!</v>
      </c>
      <c r="F101" s="10" t="e">
        <f xml:space="preserve"> IF(#REF!=0, NA(),#REF!)</f>
        <v>#REF!</v>
      </c>
      <c r="G101" s="10" t="e">
        <f xml:space="preserve"> IF(#REF!=0, NA(),#REF!)</f>
        <v>#REF!</v>
      </c>
      <c r="H101" s="10" t="e">
        <f xml:space="preserve"> IF(#REF!=0, NA(),#REF!)</f>
        <v>#REF!</v>
      </c>
      <c r="I101" s="10" t="e">
        <f xml:space="preserve"> IF(#REF!=0, NA(),#REF!)</f>
        <v>#REF!</v>
      </c>
      <c r="J101" s="10" t="e">
        <f xml:space="preserve"> IF(#REF!=0, NA(),#REF!)</f>
        <v>#REF!</v>
      </c>
      <c r="K101" s="10" t="e">
        <f xml:space="preserve"> IF(#REF!=0, NA(),#REF!)</f>
        <v>#REF!</v>
      </c>
      <c r="L101" s="10" t="e">
        <f xml:space="preserve"> IF(#REF!=0, NA(),#REF!)</f>
        <v>#REF!</v>
      </c>
    </row>
    <row r="102" spans="1:12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33" x14ac:dyDescent="0.3">
      <c r="B103" s="5" t="s">
        <v>18</v>
      </c>
      <c r="C103" s="8" t="e">
        <f>IF($H$4=0, NA(), $H$4)</f>
        <v>#N/A</v>
      </c>
      <c r="D103" s="8" t="e">
        <f t="shared" ref="D103:L103" si="8">IF($H$4=0, NA(), $H$4)</f>
        <v>#N/A</v>
      </c>
      <c r="E103" s="8" t="e">
        <f t="shared" si="8"/>
        <v>#N/A</v>
      </c>
      <c r="F103" s="8" t="e">
        <f t="shared" si="8"/>
        <v>#N/A</v>
      </c>
      <c r="G103" s="8" t="e">
        <f t="shared" si="8"/>
        <v>#N/A</v>
      </c>
      <c r="H103" s="8" t="e">
        <f t="shared" si="8"/>
        <v>#N/A</v>
      </c>
      <c r="I103" s="8" t="e">
        <f t="shared" si="8"/>
        <v>#N/A</v>
      </c>
      <c r="J103" s="8" t="e">
        <f t="shared" si="8"/>
        <v>#N/A</v>
      </c>
      <c r="K103" s="8" t="e">
        <f t="shared" si="8"/>
        <v>#N/A</v>
      </c>
      <c r="L103" s="8" t="e">
        <f t="shared" si="8"/>
        <v>#N/A</v>
      </c>
    </row>
    <row r="104" spans="1:12" ht="33" x14ac:dyDescent="0.3">
      <c r="B104" s="5" t="s">
        <v>19</v>
      </c>
      <c r="C104" s="8" t="e">
        <f>IF($J$4=0, NA(), $J$4)</f>
        <v>#N/A</v>
      </c>
      <c r="D104" s="8" t="e">
        <f t="shared" ref="D104:L104" si="9">IF($J$4=0, NA(), $J$4)</f>
        <v>#N/A</v>
      </c>
      <c r="E104" s="8" t="e">
        <f t="shared" si="9"/>
        <v>#N/A</v>
      </c>
      <c r="F104" s="8" t="e">
        <f t="shared" si="9"/>
        <v>#N/A</v>
      </c>
      <c r="G104" s="8" t="e">
        <f t="shared" si="9"/>
        <v>#N/A</v>
      </c>
      <c r="H104" s="8" t="e">
        <f t="shared" si="9"/>
        <v>#N/A</v>
      </c>
      <c r="I104" s="8" t="e">
        <f t="shared" si="9"/>
        <v>#N/A</v>
      </c>
      <c r="J104" s="8" t="e">
        <f t="shared" si="9"/>
        <v>#N/A</v>
      </c>
      <c r="K104" s="8" t="e">
        <f t="shared" si="9"/>
        <v>#N/A</v>
      </c>
      <c r="L104" s="8" t="e">
        <f t="shared" si="9"/>
        <v>#N/A</v>
      </c>
    </row>
  </sheetData>
  <mergeCells count="18">
    <mergeCell ref="A27:M33"/>
    <mergeCell ref="A1:D2"/>
    <mergeCell ref="E1:M2"/>
    <mergeCell ref="A3:B3"/>
    <mergeCell ref="C3:D3"/>
    <mergeCell ref="E3:F3"/>
    <mergeCell ref="G3:J3"/>
    <mergeCell ref="K3:L3"/>
    <mergeCell ref="A4:B4"/>
    <mergeCell ref="C4:D4"/>
    <mergeCell ref="E4:F4"/>
    <mergeCell ref="K4:L4"/>
    <mergeCell ref="A26:M26"/>
    <mergeCell ref="A36:A37"/>
    <mergeCell ref="B36:B37"/>
    <mergeCell ref="C36:L36"/>
    <mergeCell ref="A70:A71"/>
    <mergeCell ref="C70:L7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&amp;C&amp;P&amp;//&amp;N&amp;RHLF-QC-126-06/Rev.001-1</oddFooter>
  </headerFooter>
  <rowBreaks count="1" manualBreakCount="1">
    <brk id="34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pH</vt:lpstr>
      <vt:lpstr>삼투압</vt:lpstr>
      <vt:lpstr>함량</vt:lpstr>
      <vt:lpstr>A</vt:lpstr>
      <vt:lpstr>B</vt:lpstr>
      <vt:lpstr>기타</vt:lpstr>
      <vt:lpstr>총</vt:lpstr>
      <vt:lpstr>A!Print_Area</vt:lpstr>
      <vt:lpstr>B!Print_Area</vt:lpstr>
      <vt:lpstr>pH!Print_Area</vt:lpstr>
      <vt:lpstr>기타!Print_Area</vt:lpstr>
      <vt:lpstr>삼투압!Print_Area</vt:lpstr>
      <vt:lpstr>총!Print_Area</vt:lpstr>
      <vt:lpstr>함량!Print_Area</vt:lpstr>
    </vt:vector>
  </TitlesOfParts>
  <Company>Your 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You Lim</dc:creator>
  <cp:lastModifiedBy>HL2</cp:lastModifiedBy>
  <cp:lastPrinted>2026-08-27T05:03:01Z</cp:lastPrinted>
  <dcterms:created xsi:type="dcterms:W3CDTF">2011-05-18T04:16:16Z</dcterms:created>
  <dcterms:modified xsi:type="dcterms:W3CDTF">2026-08-28T01:14:40Z</dcterms:modified>
</cp:coreProperties>
</file>