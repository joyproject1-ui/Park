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lateral" sheetId="1" state="visible" r:id="rId3"/>
  </sheets>
  <definedNames>
    <definedName function="false" hidden="false" localSheetId="0" name="_xlnm.Print_Area" vbProcedure="false">Unilateral!$A$1:$P$45</definedName>
  </definedNames>
  <calcPr calcId="191029" fullCalcOn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<sst xmlns="http://schemas.openxmlformats.org/spreadsheetml/2006/main" count="20" uniqueCount="20">
  <si>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제품품질평가 경향분석 Sheet (한쪽 규격 용)
Trend Analysis Sheet for Product Quality Review (Unilateral specification)</t>
  </si>
  <si>
    <t xml:space="preserve">제품명 Product : </t>
  </si>
  <si>
    <t/>
  </si>
  <si>
    <t xml:space="preserve">일자 Date : </t>
  </si>
  <si>
    <t/>
  </si>
  <si>
    <t xml:space="preserve">Specification</t>
  </si>
  <si>
    <t xml:space="preserve">공정명 Process : </t>
  </si>
  <si>
    <t/>
  </si>
  <si>
    <t xml:space="preserve">시험항목 Test item : </t>
  </si>
  <si>
    <t/>
  </si>
  <si>
    <t xml:space="preserve">Min</t>
  </si>
  <si>
    <t xml:space="preserve">Max</t>
  </si>
  <si>
    <t xml:space="preserve">Data</t>
  </si>
  <si>
    <t xml:space="preserve">Std Deviation (σ) :</t>
  </si>
  <si>
    <t xml:space="preserve">No.</t>
  </si>
  <si>
    <t xml:space="preserve">결과값 Result</t>
  </si>
  <si>
    <t xml:space="preserve">Mean (X) :</t>
  </si>
  <si>
    <t xml:space="preserve">Short-term Centered Capability - including Global Variation (Cpk) :</t>
  </si>
  <si>
    <t xml:space="preserve">Mean</t>
  </si>
  <si>
    <t xml:space="preserve">제품품질평가 경향분석 Sheet(한쪽 규격 용)(SS-QA-04(Ver_1.0))                                                                                                                     HLF-QC-126-08/Rev.000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</si>
</sst>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.mm\.dd"/>
    <numFmt numFmtId="166" formatCode="0.000"/>
    <numFmt numFmtId="167" formatCode="General"/>
    <numFmt numFmtId="168" formatCode="0.00"/>
    <numFmt numFmtId="169" formatCode="0.0000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굴림"/>
      <family val="3"/>
      <charset val="129"/>
    </font>
    <font>
      <sz val="20"/>
      <name val="굴림"/>
      <family val="3"/>
      <charset val="129"/>
    </font>
    <font>
      <sz val="16"/>
      <name val="굴림"/>
      <family val="3"/>
      <charset val="129"/>
    </font>
    <font>
      <sz val="12"/>
      <name val="굴림"/>
      <family val="3"/>
      <charset val="129"/>
    </font>
    <font>
      <sz val="8"/>
      <color rgb="FF808080"/>
      <name val="굴림"/>
      <family val="3"/>
      <charset val="129"/>
    </font>
    <font>
      <sz val="11"/>
      <name val="굴림"/>
      <family val="3"/>
      <charset val="129"/>
    </font>
    <font>
      <b val="true"/>
      <sz val="10"/>
      <color rgb="FF000080"/>
      <name val="굴림"/>
      <family val="3"/>
      <charset val="129"/>
    </font>
    <font>
      <sz val="10"/>
      <color rgb="FF000080"/>
      <name val="굴림"/>
      <family val="3"/>
      <charset val="129"/>
    </font>
    <font>
      <sz val="10"/>
      <color rgb="FF0066CC"/>
      <name val="굴림"/>
      <family val="3"/>
      <charset val="129"/>
    </font>
    <font>
      <sz val="10"/>
      <color rgb="FF0000FF"/>
      <name val="굴림"/>
      <family val="3"/>
      <charset val="129"/>
    </font>
    <font>
      <sz val="16"/>
      <color rgb="FF808080"/>
      <name val="굴림"/>
      <family val="3"/>
      <charset val="129"/>
    </font>
    <font>
      <b val="true"/>
      <sz val="16"/>
      <name val="굴림"/>
      <family val="3"/>
      <charset val="129"/>
    </font>
    <font>
      <sz val="5"/>
      <color rgb="FF000000"/>
      <name val="Arial"/>
      <family val="2"/>
    </font>
    <font>
      <sz val="9"/>
      <color rgb="FF000000"/>
      <name val="Arial"/>
      <family val="2"/>
    </font>
    <font>
      <sz val="7.5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family val="2"/>
        <color rgb="FF008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295059921686509"/>
          <c:y val="0.0759043927648579"/>
          <c:w val="0.965114899339477"/>
          <c:h val="0.924095607235142"/>
        </c:manualLayout>
      </c:layout>
      <c:lineChart>
        <c:grouping val="standard"/>
        <c:varyColors val="0"/>
        <c:ser>
          <c:idx val="0"/>
          <c:order val="0"/>
          <c:tx>
            <c:strRef>
              <c:f>Unilateral!$B$9</c:f>
              <c:strCache>
                <c:ptCount val="1"/>
                <c:pt idx="0">
                  <c:v>결과값 Result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Unilateral!$B$10:$B$10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Unilateral!$R$9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008000"/>
            </a:solidFill>
            <a:ln w="25200">
              <a:solidFill>
                <a:srgbClr val="008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Unilateral!$R$10:$R$10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Unilateral!$S$9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ff9900"/>
            </a:solidFill>
            <a:ln w="25200">
              <a:solidFill>
                <a:srgbClr val="ff9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Unilateral!$S$10:$S$10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3"/>
          <c:order val="3"/>
          <c:tx>
            <c:strRef>
              <c:f>Unilateral!$T$9</c:f>
              <c:strCache>
                <c:ptCount val="1"/>
                <c:pt idx="0">
                  <c:v>USL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Unilateral!$T$10:$T$10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748035"/>
        <c:axId val="56471201"/>
      </c:lineChart>
      <c:catAx>
        <c:axId val="687480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5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6471201"/>
        <c:crossesAt val="0"/>
        <c:auto val="1"/>
        <c:lblAlgn val="ctr"/>
        <c:lblOffset val="100"/>
        <c:noMultiLvlLbl val="0"/>
      </c:catAx>
      <c:valAx>
        <c:axId val="56471201"/>
        <c:scaling>
          <c:orientation val="minMax"/>
        </c:scaling>
        <c:delete val="0"/>
        <c:axPos val="l"/>
        <c:majorGridlines>
          <c:spPr>
            <a:ln w="0">
              <a:solidFill>
                <a:srgbClr val="969696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748035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240715105011272"/>
          <c:y val="0.732019810508183"/>
          <c:w val="0.715816952102203"/>
          <c:h val="0.12532299741602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75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10440</xdr:colOff>
      <xdr:row>12</xdr:row>
      <xdr:rowOff>19080</xdr:rowOff>
    </xdr:from>
    <xdr:to>
      <xdr:col>15</xdr:col>
      <xdr:colOff>573840</xdr:colOff>
      <xdr:row>34</xdr:row>
      <xdr:rowOff>9360</xdr:rowOff>
    </xdr:to>
    <xdr:graphicFrame>
      <xdr:nvGraphicFramePr>
        <xdr:cNvPr id="0" name="차트 1"/>
        <xdr:cNvGraphicFramePr/>
      </xdr:nvGraphicFramePr>
      <xdr:xfrm>
        <a:off x="1519200" y="2266200"/>
        <a:ext cx="9101520" cy="334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201240</xdr:colOff>
      <xdr:row>9</xdr:row>
      <xdr:rowOff>37440</xdr:rowOff>
    </xdr:from>
    <xdr:to>
      <xdr:col>15</xdr:col>
      <xdr:colOff>463320</xdr:colOff>
      <xdr:row>10</xdr:row>
      <xdr:rowOff>123480</xdr:rowOff>
    </xdr:to>
    <xdr:sp>
      <xdr:nvSpPr>
        <xdr:cNvPr id="1" name="AutoShape 7"/>
        <xdr:cNvSpPr/>
      </xdr:nvSpPr>
      <xdr:spPr>
        <a:xfrm flipV="1">
          <a:off x="10248120" y="1798560"/>
          <a:ext cx="262080" cy="248040"/>
        </a:xfrm>
        <a:prstGeom prst="triangle">
          <a:avLst>
            <a:gd name="adj" fmla="val 50000"/>
          </a:avLst>
        </a:prstGeom>
        <a:solidFill>
          <a:srgbClr val="ff9900"/>
        </a:solidFill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201240</xdr:colOff>
      <xdr:row>9</xdr:row>
      <xdr:rowOff>37440</xdr:rowOff>
    </xdr:from>
    <xdr:to>
      <xdr:col>15</xdr:col>
      <xdr:colOff>463320</xdr:colOff>
      <xdr:row>10</xdr:row>
      <xdr:rowOff>123480</xdr:rowOff>
    </xdr:to>
    <xdr:sp>
      <xdr:nvSpPr>
        <xdr:cNvPr id="2" name="AutoShape 7"/>
        <xdr:cNvSpPr/>
      </xdr:nvSpPr>
      <xdr:spPr>
        <a:xfrm flipV="1">
          <a:off x="10248120" y="1798560"/>
          <a:ext cx="262080" cy="248040"/>
        </a:xfrm>
        <a:prstGeom prst="triangle">
          <a:avLst>
            <a:gd name="adj" fmla="val 50000"/>
          </a:avLst>
        </a:prstGeom>
        <a:solidFill>
          <a:srgbClr val="ff9900"/>
        </a:solidFill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720</xdr:colOff>
      <xdr:row>0</xdr:row>
      <xdr:rowOff>552600</xdr:rowOff>
    </xdr:to>
    <xdr:pic>
      <xdr:nvPicPr>
        <xdr:cNvPr id="3" name="그림 3" descr=""/>
        <xdr:cNvPicPr/>
      </xdr:nvPicPr>
      <xdr:blipFill>
        <a:blip r:embed="rId2"/>
        <a:stretch/>
      </xdr:blipFill>
      <xdr:spPr>
        <a:xfrm>
          <a:off x="0" y="0"/>
          <a:ext cx="3018240" cy="55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9720</xdr:rowOff>
    </xdr:from>
    <xdr:to>
      <xdr:col>2</xdr:col>
      <xdr:colOff>720</xdr:colOff>
      <xdr:row>43</xdr:row>
      <xdr:rowOff>142920</xdr:rowOff>
    </xdr:to>
    <xdr:sp>
      <xdr:nvSpPr>
        <xdr:cNvPr id="4" name="직선 연결선 2"/>
        <xdr:cNvSpPr/>
      </xdr:nvSpPr>
      <xdr:spPr>
        <a:xfrm flipH="1">
          <a:off x="402120" y="4542840"/>
          <a:ext cx="1107360" cy="257184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603360</xdr:colOff>
      <xdr:row>5</xdr:row>
      <xdr:rowOff>9720</xdr:rowOff>
    </xdr:from>
    <xdr:to>
      <xdr:col>15</xdr:col>
      <xdr:colOff>720</xdr:colOff>
      <xdr:row>5</xdr:row>
      <xdr:rowOff>176400</xdr:rowOff>
    </xdr:to>
    <xdr:sp>
      <xdr:nvSpPr>
        <xdr:cNvPr id="5" name="직선 연결선 4"/>
        <xdr:cNvSpPr/>
      </xdr:nvSpPr>
      <xdr:spPr>
        <a:xfrm flipH="1">
          <a:off x="9423360" y="1201680"/>
          <a:ext cx="624240" cy="166680"/>
        </a:xfrm>
        <a:prstGeom prst="line">
          <a:avLst/>
        </a:prstGeom>
        <a:ln w="64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15.7"/>
    <col collapsed="false" customWidth="true" hidden="false" outlineLevel="0" max="4" min="3" style="2" width="10.71"/>
    <col collapsed="false" customWidth="true" hidden="false" outlineLevel="0" max="8" min="5" style="2" width="8.7"/>
    <col collapsed="false" customWidth="true" hidden="false" outlineLevel="0" max="9" min="9" style="2" width="12.7"/>
    <col collapsed="false" customWidth="true" hidden="false" outlineLevel="0" max="13" min="10" style="1" width="8.7"/>
    <col collapsed="false" customWidth="true" hidden="false" outlineLevel="0" max="19" min="14" style="2" width="8.7"/>
    <col collapsed="false" customWidth="false" hidden="false" outlineLevel="0" max="257" min="20" style="2" width="9.14"/>
  </cols>
  <sheetData>
    <row r="1" s="5" customFormat="true" ht="43.5" hidden="false" customHeight="true" outlineLevel="0" collapsed="false">
      <c r="A1" s="3"/>
      <c r="B1" s="3"/>
      <c r="C1" s="3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5" customFormat="true" ht="15.6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8"/>
    </row>
    <row r="3" s="10" customFormat="true" ht="6.95" hidden="false" customHeight="true" outlineLevel="0" collapsed="false">
      <c r="A3" s="9"/>
      <c r="J3" s="9"/>
      <c r="K3" s="9"/>
      <c r="L3" s="9"/>
      <c r="M3" s="9"/>
    </row>
    <row r="4" customFormat="false" ht="13.9" hidden="false" customHeight="true" outlineLevel="0" collapsed="false">
      <c r="A4" s="11" t="s">
        <v>1</v>
      </c>
      <c r="B4" s="11"/>
      <c r="C4" s="12" t="inlineStr">
        <is>
          <t xml:space="preserve"/>
        </is>
      </c>
      <c r="D4" s="12"/>
      <c r="E4" s="12"/>
      <c r="F4" s="12"/>
      <c r="G4" s="12"/>
      <c r="H4" s="13"/>
      <c r="I4" s="11" t="s">
        <v>3</v>
      </c>
      <c r="J4" s="11"/>
      <c r="K4" s="14" t="inlineStr">
        <is>
          <t xml:space="preserve"/>
        </is>
      </c>
      <c r="L4" s="14"/>
      <c r="M4" s="13"/>
      <c r="O4" s="15" t="s">
        <v>5</v>
      </c>
      <c r="P4" s="15"/>
    </row>
    <row r="5" customFormat="false" ht="13.9" hidden="false" customHeight="true" outlineLevel="0" collapsed="false">
      <c r="A5" s="11" t="s">
        <v>6</v>
      </c>
      <c r="B5" s="11"/>
      <c r="C5" s="12" t="inlineStr">
        <is>
          <t xml:space="preserve"/>
        </is>
      </c>
      <c r="D5" s="12"/>
      <c r="E5" s="12"/>
      <c r="F5" s="12"/>
      <c r="G5" s="12"/>
      <c r="H5" s="13"/>
      <c r="I5" s="11" t="s">
        <v>8</v>
      </c>
      <c r="J5" s="11"/>
      <c r="K5" s="12" t="inlineStr">
        <is>
          <t xml:space="preserve"/>
        </is>
      </c>
      <c r="L5" s="12"/>
      <c r="M5" s="13"/>
      <c r="O5" s="15" t="s">
        <v>10</v>
      </c>
      <c r="P5" s="15" t="s">
        <v>11</v>
      </c>
      <c r="R5" s="16"/>
      <c r="S5" s="16"/>
      <c r="T5" s="16"/>
      <c r="U5" s="16"/>
      <c r="V5" s="16"/>
    </row>
    <row r="6" customFormat="false" ht="13.9" hidden="false" customHeight="true" outlineLevel="0" collapsed="false">
      <c r="A6" s="11"/>
      <c r="B6" s="11"/>
      <c r="C6" s="13"/>
      <c r="D6" s="13"/>
      <c r="E6" s="13"/>
      <c r="F6" s="13"/>
      <c r="G6" s="13"/>
      <c r="H6" s="13"/>
      <c r="I6" s="11"/>
      <c r="J6" s="11"/>
      <c r="K6" s="13"/>
      <c r="L6" s="13"/>
      <c r="M6" s="13"/>
      <c r="N6"/>
      <c r="O6" s="17"/>
      <c r="P6" s="17"/>
      <c r="R6" s="16"/>
      <c r="S6" s="16"/>
      <c r="T6" s="16"/>
      <c r="U6" s="16"/>
      <c r="V6" s="16"/>
    </row>
    <row r="7" customFormat="false" ht="6.95" hidden="false" customHeight="true" outlineLevel="0" collapsed="false">
      <c r="R7" s="16"/>
      <c r="S7" s="16"/>
      <c r="T7" s="16"/>
      <c r="U7" s="16"/>
      <c r="V7" s="16"/>
    </row>
    <row r="8" customFormat="false" ht="12" hidden="false" customHeight="false" outlineLevel="0" collapsed="false">
      <c r="A8" s="15" t="s">
        <v>12</v>
      </c>
      <c r="B8" s="15"/>
      <c r="F8" s="18" t="s">
        <v>13</v>
      </c>
      <c r="G8" s="19">
        <f>STDEV(B10:B44)</f>
      </c>
      <c r="I8" s="20"/>
      <c r="J8" s="21"/>
      <c r="K8" s="22"/>
      <c r="L8" s="22"/>
      <c r="M8" s="22"/>
      <c r="N8" s="22"/>
      <c r="O8" s="23" t="str">
        <f>IF(COUNTBLANK(O6:P6)=2,"Define Min or Max Specification :",IF(COUNTBLANK(O6)=1,"Short-term Capability (Cpu) :",IF(COUNTBLANK(P6)=1,"Short-term Capability (Cpl) :","Define Min or Max Specification :")))</f>
        <v>Short-term Capability (Cpl) :</v>
      </c>
      <c r="P8" s="24">
        <f>IF(COUNTBLANK(O6:P6)=2,"",IF(COUNTBLANK(P6)=1,(G9-O6)/(3*G8),IF(COUNTBLANK(O6)=1,(P6-G9)/(3*G8),"")))</f>
      </c>
      <c r="R8" s="16"/>
      <c r="S8" s="16"/>
      <c r="T8" s="16"/>
      <c r="U8" s="16"/>
      <c r="V8" s="16"/>
    </row>
    <row r="9" customFormat="false" ht="12" hidden="false" customHeight="false" outlineLevel="0" collapsed="false">
      <c r="A9" s="15" t="s">
        <v>14</v>
      </c>
      <c r="B9" s="25" t="s">
        <v>15</v>
      </c>
      <c r="F9" s="18" t="s">
        <v>16</v>
      </c>
      <c r="G9" s="19">
        <f>AVERAGE(B10:B44)</f>
      </c>
      <c r="I9" s="26"/>
      <c r="J9" s="27"/>
      <c r="K9" s="27"/>
      <c r="L9" s="27"/>
      <c r="M9" s="27"/>
      <c r="N9" s="27"/>
      <c r="O9" s="28" t="s">
        <v>17</v>
      </c>
      <c r="P9" s="29">
        <f>P8</f>
      </c>
      <c r="R9" s="30" t="s">
        <v>18</v>
      </c>
      <c r="S9" s="30" t="str">
        <f>IF(COUNTBLANK(O6:P6)=2,"",IF(COUNTBLANK(O6)=1,"UCL",IF(COUNTBLANK(P6)=1,"LCL","")))</f>
        <v>LCL</v>
      </c>
      <c r="T9" s="30" t="str">
        <f>IF(COUNTBLANK(O6:P6)=2,"",IF(COUNTBLANK(O6)=1,"USL",IF(COUNTBLANK(P6)=1,"LSL","")))</f>
        <v>LSL</v>
      </c>
      <c r="U9" s="16"/>
      <c r="V9" s="16"/>
    </row>
    <row r="10" customFormat="false" ht="12.75" hidden="false" customHeight="true" outlineLevel="0" collapsed="false">
      <c r="A10" s="31" t="n">
        <v>1</v>
      </c>
      <c r="B10" s="32"/>
      <c r="F10" s="18" t="str">
        <f>IF(COUNTBLANK(O6:P6)=2,"Define Min or Max Specification :",IF(COUNTBLANK(O6)=1,"Upper Control Limit (UCL) :",IF(COUNTBLANK(P6)=1,"Lower Control Limit (LCL) :","Define Min or Max Specification :")))</f>
        <v>Lower Control Limit (LCL) :</v>
      </c>
      <c r="G10" s="19">
        <f>IF(COUNTBLANK(O6:P6)=2,"",IF(COUNTBLANK(P6)=1,G9-(3*G8),G9+(3*G8)))</f>
      </c>
      <c r="J10" s="33"/>
      <c r="K10" s="33"/>
      <c r="L10" s="33"/>
      <c r="M10" s="33"/>
      <c r="N10" s="33"/>
      <c r="O10" s="33"/>
      <c r="P10" s="34"/>
      <c r="R10" s="35">
        <f>G9</f>
      </c>
      <c r="S10" s="35">
        <f>G10</f>
      </c>
      <c r="T10" s="35">
        <f>MAX(O$6:P$6)</f>
      </c>
      <c r="U10" s="16"/>
      <c r="V10" s="16"/>
    </row>
    <row r="11" customFormat="false" ht="12.75" hidden="false" customHeight="true" outlineLevel="0" collapsed="false">
      <c r="A11" s="31" t="n">
        <v>2</v>
      </c>
      <c r="B11" s="32"/>
      <c r="F11" s="18"/>
      <c r="G11" s="36"/>
      <c r="I11" s="37">
        <f>IF(P9&gt;=1,"공정 능력 충분 Sufficient Process Capability","공정 능력 부족 Insufficient Process Capability")</f>
      </c>
      <c r="J11" s="37"/>
      <c r="K11" s="37"/>
      <c r="L11" s="37"/>
      <c r="M11" s="37"/>
      <c r="N11" s="37"/>
      <c r="O11" s="37"/>
      <c r="P11" s="37"/>
      <c r="R11" s="35">
        <f>R10</f>
      </c>
      <c r="S11" s="35">
        <f>S10</f>
      </c>
      <c r="T11" s="35">
        <f>MAX(O$6:P$6)</f>
      </c>
      <c r="U11" s="16"/>
      <c r="V11" s="16"/>
    </row>
    <row r="12" customFormat="false" ht="12.75" hidden="false" customHeight="true" outlineLevel="0" collapsed="false">
      <c r="A12" s="31" t="n">
        <v>3</v>
      </c>
      <c r="B12" s="32"/>
      <c r="I12" s="37"/>
      <c r="J12" s="37"/>
      <c r="K12" s="37"/>
      <c r="L12" s="37"/>
      <c r="M12" s="37"/>
      <c r="N12" s="37"/>
      <c r="O12" s="37"/>
      <c r="P12" s="37"/>
      <c r="R12" s="35">
        <f>R11</f>
      </c>
      <c r="S12" s="35">
        <f>S11</f>
      </c>
      <c r="T12" s="35">
        <f>MAX(O$6:P$6)</f>
      </c>
      <c r="U12" s="16"/>
      <c r="V12" s="16"/>
    </row>
    <row r="13" customFormat="false" ht="12" hidden="false" customHeight="false" outlineLevel="0" collapsed="false">
      <c r="A13" s="31" t="n">
        <v>4</v>
      </c>
      <c r="B13" s="32"/>
      <c r="J13" s="2"/>
      <c r="K13" s="2"/>
      <c r="L13" s="2"/>
      <c r="M13" s="2"/>
      <c r="R13" s="35">
        <f>R12</f>
      </c>
      <c r="S13" s="35">
        <f>S12</f>
      </c>
      <c r="T13" s="35">
        <f>MAX(O$6:P$6)</f>
      </c>
      <c r="U13" s="16"/>
      <c r="V13" s="16"/>
    </row>
    <row r="14" customFormat="false" ht="12" hidden="false" customHeight="false" outlineLevel="0" collapsed="false">
      <c r="A14" s="31" t="n">
        <v>5</v>
      </c>
      <c r="B14" s="32"/>
      <c r="J14" s="2"/>
      <c r="K14" s="2"/>
      <c r="L14" s="2"/>
      <c r="M14" s="2"/>
      <c r="R14" s="35">
        <f>R13</f>
      </c>
      <c r="S14" s="35">
        <f>S13</f>
      </c>
      <c r="T14" s="35">
        <f>MAX(O$6:P$6)</f>
      </c>
      <c r="U14" s="16"/>
      <c r="V14" s="16"/>
    </row>
    <row r="15" customFormat="false" ht="12" hidden="false" customHeight="false" outlineLevel="0" collapsed="false">
      <c r="A15" s="31" t="n">
        <v>6</v>
      </c>
      <c r="B15" s="32"/>
      <c r="J15" s="2"/>
      <c r="K15" s="2"/>
      <c r="L15" s="2"/>
      <c r="M15" s="2"/>
      <c r="R15" s="35">
        <f>R14</f>
      </c>
      <c r="S15" s="35">
        <f>S14</f>
      </c>
      <c r="T15" s="35">
        <f>MAX(O$6:P$6)</f>
      </c>
      <c r="U15" s="16"/>
      <c r="V15" s="16"/>
    </row>
    <row r="16" customFormat="false" ht="12" hidden="false" customHeight="false" outlineLevel="0" collapsed="false">
      <c r="A16" s="31" t="n">
        <v>7</v>
      </c>
      <c r="B16" s="32"/>
      <c r="J16" s="2"/>
      <c r="K16" s="2"/>
      <c r="L16" s="2"/>
      <c r="M16" s="2"/>
      <c r="R16" s="35">
        <f>R15</f>
      </c>
      <c r="S16" s="35">
        <f>S15</f>
      </c>
      <c r="T16" s="35">
        <f>MAX(O$6:P$6)</f>
      </c>
      <c r="U16" s="16"/>
      <c r="V16" s="16"/>
    </row>
    <row r="17" customFormat="false" ht="12" hidden="false" customHeight="false" outlineLevel="0" collapsed="false">
      <c r="A17" s="31" t="n">
        <v>8</v>
      </c>
      <c r="B17" s="32"/>
      <c r="J17" s="2"/>
      <c r="K17" s="2"/>
      <c r="L17" s="2"/>
      <c r="M17" s="2"/>
      <c r="R17" s="35">
        <f>R16</f>
      </c>
      <c r="S17" s="35">
        <f>S16</f>
      </c>
      <c r="T17" s="35">
        <f>MAX(O$6:P$6)</f>
      </c>
      <c r="U17" s="16"/>
      <c r="V17" s="16"/>
    </row>
    <row r="18" customFormat="false" ht="12" hidden="false" customHeight="false" outlineLevel="0" collapsed="false">
      <c r="A18" s="31" t="n">
        <v>9</v>
      </c>
      <c r="B18" s="32"/>
      <c r="J18" s="2"/>
      <c r="K18" s="2"/>
      <c r="L18" s="2"/>
      <c r="M18" s="2"/>
      <c r="R18" s="35">
        <f>R17</f>
      </c>
      <c r="S18" s="35">
        <f>S17</f>
      </c>
      <c r="T18" s="35">
        <f>MAX(O$6:P$6)</f>
      </c>
      <c r="U18" s="16"/>
      <c r="V18" s="16"/>
    </row>
    <row r="19" customFormat="false" ht="12" hidden="false" customHeight="false" outlineLevel="0" collapsed="false">
      <c r="A19" s="31" t="n">
        <v>10</v>
      </c>
      <c r="B19" s="32"/>
      <c r="J19" s="2"/>
      <c r="K19" s="2"/>
      <c r="L19" s="2"/>
      <c r="M19" s="2"/>
      <c r="R19" s="35">
        <f>R18</f>
      </c>
      <c r="S19" s="35">
        <f>S18</f>
      </c>
      <c r="T19" s="35">
        <f>MAX(O$6:P$6)</f>
      </c>
      <c r="U19" s="16"/>
      <c r="V19" s="16"/>
    </row>
    <row r="20" customFormat="false" ht="12" hidden="false" customHeight="false" outlineLevel="0" collapsed="false">
      <c r="A20" s="31" t="n">
        <v>11</v>
      </c>
      <c r="B20" s="32"/>
      <c r="J20" s="2"/>
      <c r="K20" s="2"/>
      <c r="L20" s="2"/>
      <c r="M20" s="2"/>
      <c r="R20" s="35">
        <f>R19</f>
      </c>
      <c r="S20" s="35">
        <f>S19</f>
      </c>
      <c r="T20" s="35">
        <f>MAX(O$6:P$6)</f>
      </c>
      <c r="U20" s="16"/>
      <c r="V20" s="16"/>
    </row>
    <row r="21" customFormat="false" ht="12" hidden="false" customHeight="false" outlineLevel="0" collapsed="false">
      <c r="A21" s="31" t="n">
        <v>12</v>
      </c>
      <c r="B21" s="32"/>
      <c r="J21" s="2"/>
      <c r="K21" s="2"/>
      <c r="L21" s="2"/>
      <c r="M21" s="2"/>
      <c r="R21" s="35">
        <f>R20</f>
      </c>
      <c r="S21" s="35">
        <f>S20</f>
      </c>
      <c r="T21" s="35">
        <f>MAX(O$6:P$6)</f>
      </c>
      <c r="U21" s="16"/>
      <c r="V21" s="16"/>
    </row>
    <row r="22" customFormat="false" ht="12" hidden="false" customHeight="false" outlineLevel="0" collapsed="false">
      <c r="A22" s="31" t="n">
        <v>13</v>
      </c>
      <c r="B22" s="32"/>
      <c r="J22" s="2"/>
      <c r="K22" s="2"/>
      <c r="L22" s="2"/>
      <c r="M22" s="2"/>
      <c r="R22" s="35">
        <f>R21</f>
      </c>
      <c r="S22" s="35">
        <f>S21</f>
      </c>
      <c r="T22" s="35">
        <f>MAX(O$6:P$6)</f>
      </c>
      <c r="U22" s="16"/>
      <c r="V22" s="16"/>
    </row>
    <row r="23" customFormat="false" ht="12" hidden="false" customHeight="false" outlineLevel="0" collapsed="false">
      <c r="A23" s="31" t="n">
        <v>14</v>
      </c>
      <c r="B23" s="32"/>
      <c r="J23" s="2"/>
      <c r="K23" s="2"/>
      <c r="L23" s="2"/>
      <c r="M23" s="2"/>
      <c r="R23" s="35">
        <f>R22</f>
      </c>
      <c r="S23" s="35">
        <f>S22</f>
      </c>
      <c r="T23" s="35">
        <f>MAX(O$6:P$6)</f>
      </c>
      <c r="U23" s="16"/>
      <c r="V23" s="16"/>
    </row>
    <row r="24" customFormat="false" ht="12" hidden="false" customHeight="false" outlineLevel="0" collapsed="false">
      <c r="A24" s="31" t="n">
        <v>15</v>
      </c>
      <c r="B24" s="32"/>
      <c r="J24" s="2"/>
      <c r="K24" s="2"/>
      <c r="L24" s="2"/>
      <c r="M24" s="2"/>
      <c r="R24" s="35">
        <f>R23</f>
      </c>
      <c r="S24" s="35">
        <f>S23</f>
      </c>
      <c r="T24" s="35">
        <f>MAX(O$6:P$6)</f>
      </c>
      <c r="U24" s="16"/>
      <c r="V24" s="16"/>
    </row>
    <row r="25" customFormat="false" ht="12" hidden="false" customHeight="false" outlineLevel="0" collapsed="false">
      <c r="A25" s="31" t="n">
        <v>16</v>
      </c>
      <c r="B25" s="32"/>
      <c r="J25" s="2"/>
      <c r="K25" s="2"/>
      <c r="L25" s="2"/>
      <c r="M25" s="2"/>
      <c r="R25" s="35">
        <f>R24</f>
      </c>
      <c r="S25" s="35">
        <f>S24</f>
      </c>
      <c r="T25" s="35">
        <f>MAX(O$6:P$6)</f>
      </c>
      <c r="U25" s="16"/>
      <c r="V25" s="16"/>
    </row>
    <row r="26" customFormat="false" ht="12" hidden="false" customHeight="false" outlineLevel="0" collapsed="false">
      <c r="A26" s="31" t="n">
        <v>17</v>
      </c>
      <c r="B26" s="32"/>
      <c r="J26" s="2"/>
      <c r="K26" s="2"/>
      <c r="L26" s="2"/>
      <c r="M26" s="2"/>
      <c r="R26" s="35">
        <f>R25</f>
      </c>
      <c r="S26" s="35">
        <f>S25</f>
      </c>
      <c r="T26" s="35">
        <f>MAX(O$6:P$6)</f>
      </c>
      <c r="U26" s="16"/>
      <c r="V26" s="16"/>
    </row>
    <row r="27" customFormat="false" ht="12" hidden="false" customHeight="false" outlineLevel="0" collapsed="false">
      <c r="A27" s="31" t="n">
        <v>18</v>
      </c>
      <c r="B27" s="32"/>
      <c r="J27" s="2"/>
      <c r="K27" s="2"/>
      <c r="L27" s="2"/>
      <c r="M27" s="2"/>
      <c r="R27" s="35">
        <f>R26</f>
      </c>
      <c r="S27" s="35">
        <f>S26</f>
      </c>
      <c r="T27" s="35">
        <f>MAX(O$6:P$6)</f>
      </c>
      <c r="U27" s="16"/>
      <c r="V27" s="16"/>
    </row>
    <row r="28" customFormat="false" ht="12" hidden="false" customHeight="false" outlineLevel="0" collapsed="false">
      <c r="A28" s="31" t="n">
        <v>19</v>
      </c>
      <c r="B28" s="32"/>
      <c r="J28" s="2"/>
      <c r="K28" s="2"/>
      <c r="L28" s="2"/>
      <c r="M28" s="2"/>
      <c r="R28" s="35">
        <f>R27</f>
      </c>
      <c r="S28" s="35">
        <f>S27</f>
      </c>
      <c r="T28" s="35">
        <f>MAX(O$6:P$6)</f>
      </c>
      <c r="U28" s="16"/>
      <c r="V28" s="16"/>
    </row>
    <row r="29" customFormat="false" ht="12" hidden="false" customHeight="false" outlineLevel="0" collapsed="false">
      <c r="A29" s="31" t="n">
        <v>20</v>
      </c>
      <c r="B29" s="32"/>
      <c r="J29" s="2"/>
      <c r="K29" s="2"/>
      <c r="L29" s="2"/>
      <c r="M29" s="2"/>
      <c r="R29" s="35">
        <f>R28</f>
      </c>
      <c r="S29" s="35">
        <f>S28</f>
      </c>
      <c r="T29" s="35">
        <f>MAX(O$6:P$6)</f>
      </c>
      <c r="U29" s="16"/>
      <c r="V29" s="16"/>
    </row>
    <row r="30" customFormat="false" ht="12" hidden="false" customHeight="false" outlineLevel="0" collapsed="false">
      <c r="A30" s="31" t="n">
        <v>21</v>
      </c>
      <c r="B30" s="32"/>
      <c r="J30" s="2"/>
      <c r="K30" s="2"/>
      <c r="L30" s="2"/>
      <c r="M30" s="2"/>
      <c r="R30" s="35">
        <f>R29</f>
      </c>
      <c r="S30" s="35">
        <f>S29</f>
      </c>
      <c r="T30" s="35">
        <f>MAX(O$6:P$6)</f>
      </c>
      <c r="U30" s="16"/>
      <c r="V30" s="16"/>
    </row>
    <row r="31" customFormat="false" ht="12" hidden="false" customHeight="false" outlineLevel="0" collapsed="false">
      <c r="A31" s="31" t="n">
        <v>22</v>
      </c>
      <c r="B31" s="32"/>
      <c r="J31" s="2"/>
      <c r="K31" s="2"/>
      <c r="L31" s="2"/>
      <c r="M31" s="2"/>
      <c r="R31" s="35">
        <f>R30</f>
      </c>
      <c r="S31" s="35">
        <f>S30</f>
      </c>
      <c r="T31" s="35">
        <f>MAX(O$6:P$6)</f>
      </c>
      <c r="U31" s="16"/>
      <c r="V31" s="16"/>
    </row>
    <row r="32" customFormat="false" ht="12" hidden="false" customHeight="false" outlineLevel="0" collapsed="false">
      <c r="A32" s="31" t="n">
        <v>23</v>
      </c>
      <c r="B32" s="32"/>
      <c r="J32" s="2"/>
      <c r="K32" s="2"/>
      <c r="L32" s="2"/>
      <c r="M32" s="2"/>
      <c r="R32" s="35">
        <f>R31</f>
      </c>
      <c r="S32" s="35">
        <f>S31</f>
      </c>
      <c r="T32" s="35">
        <f>MAX(O$6:P$6)</f>
      </c>
      <c r="U32" s="16"/>
      <c r="V32" s="16"/>
    </row>
    <row r="33" customFormat="false" ht="12" hidden="false" customHeight="false" outlineLevel="0" collapsed="false">
      <c r="A33" s="31" t="n">
        <v>24</v>
      </c>
      <c r="B33" s="32"/>
      <c r="J33" s="2"/>
      <c r="K33" s="2"/>
      <c r="L33" s="2"/>
      <c r="M33" s="2"/>
      <c r="R33" s="35">
        <f>R32</f>
      </c>
      <c r="S33" s="35">
        <f>S32</f>
      </c>
      <c r="T33" s="35">
        <f>MAX(O$6:P$6)</f>
      </c>
      <c r="U33" s="16"/>
      <c r="V33" s="16"/>
    </row>
    <row r="34" customFormat="false" ht="12" hidden="false" customHeight="false" outlineLevel="0" collapsed="false">
      <c r="A34" s="31" t="n">
        <v>25</v>
      </c>
      <c r="B34" s="32"/>
      <c r="J34" s="2"/>
      <c r="K34" s="2"/>
      <c r="L34" s="2"/>
      <c r="M34" s="2"/>
      <c r="R34" s="35">
        <f>R33</f>
      </c>
      <c r="S34" s="35">
        <f>S33</f>
      </c>
      <c r="T34" s="35">
        <f>MAX(O$6:P$6)</f>
      </c>
      <c r="U34" s="16"/>
      <c r="V34" s="16"/>
    </row>
    <row r="35" customFormat="false" ht="12" hidden="false" customHeight="false" outlineLevel="0" collapsed="false">
      <c r="A35" s="31" t="n">
        <v>26</v>
      </c>
      <c r="B35" s="32"/>
      <c r="J35" s="2"/>
      <c r="K35" s="2"/>
      <c r="L35" s="2"/>
      <c r="M35" s="2"/>
      <c r="R35" s="35">
        <f>R34</f>
      </c>
      <c r="S35" s="35">
        <f>S34</f>
      </c>
      <c r="T35" s="35">
        <f>MAX(O$6:P$6)</f>
      </c>
      <c r="U35" s="16"/>
      <c r="V35" s="16"/>
    </row>
    <row r="36" customFormat="false" ht="12" hidden="false" customHeight="false" outlineLevel="0" collapsed="false">
      <c r="A36" s="31" t="n">
        <v>27</v>
      </c>
      <c r="B36" s="32"/>
      <c r="J36" s="2"/>
      <c r="K36" s="2"/>
      <c r="L36" s="2"/>
      <c r="M36" s="2"/>
      <c r="R36" s="35">
        <f>R35</f>
      </c>
      <c r="S36" s="35">
        <f>S35</f>
      </c>
      <c r="T36" s="35">
        <f>MAX(O$6:P$6)</f>
      </c>
      <c r="U36" s="16"/>
      <c r="V36" s="16"/>
    </row>
    <row r="37" customFormat="false" ht="12" hidden="false" customHeight="false" outlineLevel="0" collapsed="false">
      <c r="A37" s="31" t="n">
        <v>28</v>
      </c>
      <c r="B37" s="32"/>
      <c r="J37" s="2"/>
      <c r="K37" s="2"/>
      <c r="L37" s="2"/>
      <c r="M37" s="2"/>
      <c r="R37" s="35">
        <f>R36</f>
      </c>
      <c r="S37" s="35">
        <f>S36</f>
      </c>
      <c r="T37" s="35">
        <f>MAX(O$6:P$6)</f>
      </c>
      <c r="U37" s="16"/>
      <c r="V37" s="16"/>
    </row>
    <row r="38" customFormat="false" ht="12" hidden="false" customHeight="false" outlineLevel="0" collapsed="false">
      <c r="A38" s="31" t="n">
        <v>29</v>
      </c>
      <c r="B38" s="32"/>
      <c r="J38" s="2"/>
      <c r="K38" s="2"/>
      <c r="L38" s="2"/>
      <c r="M38" s="2"/>
      <c r="R38" s="35">
        <f>R37</f>
      </c>
      <c r="S38" s="35">
        <f>S37</f>
      </c>
      <c r="T38" s="35">
        <f>MAX(O$6:P$6)</f>
      </c>
      <c r="U38" s="16"/>
      <c r="V38" s="16"/>
    </row>
    <row r="39" customFormat="false" ht="12" hidden="false" customHeight="false" outlineLevel="0" collapsed="false">
      <c r="A39" s="31" t="n">
        <v>30</v>
      </c>
      <c r="B39" s="32"/>
      <c r="J39" s="2"/>
      <c r="K39" s="2"/>
      <c r="L39" s="2"/>
      <c r="M39" s="2"/>
      <c r="R39" s="35">
        <f>R38</f>
      </c>
      <c r="S39" s="35">
        <f>S38</f>
      </c>
      <c r="T39" s="35">
        <f>MAX(O$6:P$6)</f>
      </c>
      <c r="U39" s="16"/>
      <c r="V39" s="16"/>
    </row>
    <row r="40" customFormat="false" ht="12" hidden="false" customHeight="false" outlineLevel="0" collapsed="false">
      <c r="A40" s="31" t="n">
        <v>31</v>
      </c>
      <c r="B40" s="32"/>
      <c r="J40" s="2"/>
      <c r="K40" s="2"/>
      <c r="L40" s="2"/>
      <c r="M40" s="2"/>
      <c r="R40" s="35">
        <f>R39</f>
      </c>
      <c r="S40" s="35">
        <f>S39</f>
      </c>
      <c r="T40" s="35">
        <f>MAX(O$6:P$6)</f>
      </c>
      <c r="U40" s="16"/>
      <c r="V40" s="16"/>
    </row>
    <row r="41" customFormat="false" ht="12" hidden="false" customHeight="false" outlineLevel="0" collapsed="false">
      <c r="A41" s="31" t="n">
        <v>32</v>
      </c>
      <c r="B41" s="32"/>
      <c r="J41" s="2"/>
      <c r="K41" s="2"/>
      <c r="L41" s="2"/>
      <c r="M41" s="2"/>
      <c r="R41" s="35">
        <f>R40</f>
      </c>
      <c r="S41" s="35">
        <f>S40</f>
      </c>
      <c r="T41" s="35">
        <f>MAX(O$6:P$6)</f>
      </c>
      <c r="U41" s="16"/>
      <c r="V41" s="16"/>
    </row>
    <row r="42" customFormat="false" ht="12" hidden="false" customHeight="false" outlineLevel="0" collapsed="false">
      <c r="A42" s="31" t="n">
        <v>33</v>
      </c>
      <c r="B42" s="32"/>
      <c r="J42" s="2"/>
      <c r="K42" s="2"/>
      <c r="L42" s="2"/>
      <c r="M42" s="2"/>
      <c r="R42" s="35">
        <f>R41</f>
      </c>
      <c r="S42" s="35">
        <f>S41</f>
      </c>
      <c r="T42" s="35">
        <f>MAX(O$6:P$6)</f>
      </c>
      <c r="U42" s="16"/>
      <c r="V42" s="16"/>
    </row>
    <row r="43" customFormat="false" ht="12" hidden="false" customHeight="false" outlineLevel="0" collapsed="false">
      <c r="A43" s="31" t="n">
        <v>34</v>
      </c>
      <c r="B43" s="32"/>
      <c r="J43" s="2"/>
      <c r="K43" s="2"/>
      <c r="L43" s="2"/>
      <c r="M43" s="2"/>
      <c r="R43" s="35">
        <f>R42</f>
      </c>
      <c r="S43" s="35">
        <f>S42</f>
      </c>
      <c r="T43" s="35">
        <f>MAX(O$6:P$6)</f>
      </c>
      <c r="U43" s="16"/>
      <c r="V43" s="16"/>
    </row>
    <row r="44" customFormat="false" ht="12" hidden="false" customHeight="false" outlineLevel="0" collapsed="false">
      <c r="A44" s="31" t="n">
        <v>35</v>
      </c>
      <c r="B44" s="32"/>
      <c r="J44" s="2"/>
      <c r="K44" s="2"/>
      <c r="L44" s="2"/>
      <c r="M44" s="2"/>
      <c r="R44" s="35">
        <f>R43</f>
      </c>
      <c r="S44" s="35">
        <f>S43</f>
      </c>
      <c r="T44" s="35">
        <f>MAX(O$6:P$6)</f>
      </c>
      <c r="U44" s="16"/>
      <c r="V44" s="16"/>
    </row>
    <row r="45" customFormat="false" ht="12" hidden="false" customHeight="false" outlineLevel="0" collapsed="false">
      <c r="A45" s="38" t="s">
        <v>19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</sheetData>
  <sheetProtection sheet="true" password="e944" selectLockedCells="true"/>
  <mergeCells count="16">
    <mergeCell ref="E1:P1"/>
    <mergeCell ref="A4:B4"/>
    <mergeCell ref="C4:G4"/>
    <mergeCell ref="I4:J4"/>
    <mergeCell ref="K4:L4"/>
    <mergeCell ref="O4:P4"/>
    <mergeCell ref="A5:B5"/>
    <mergeCell ref="C5:G5"/>
    <mergeCell ref="I5:J5"/>
    <mergeCell ref="K5:L5"/>
    <mergeCell ref="A6:B6"/>
    <mergeCell ref="C6:G6"/>
    <mergeCell ref="I6:J6"/>
    <mergeCell ref="A8:B8"/>
    <mergeCell ref="I11:P12"/>
    <mergeCell ref="A45:P45"/>
  </mergeCells>
  <conditionalFormatting sqref="I11">
    <cfRule type="expression" priority="2" aboveAverage="0" equalAverage="0" bottom="0" percent="0" rank="0" text="" dxfId="0">
      <formula>$P$9&gt;=1.33</formula>
    </cfRule>
  </conditionalFormatting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2005-03-23T00:13:33Z</dcterms:created>
  <dc:creator/>
  <dc:description/>
  <dc:language>en-US</dc:language>
  <cp:lastModifiedBy/>
  <cp:lastPrinted>2024-07-24T05:40:53Z</cp:lastPrinted>
  <dcterms:modified xsi:type="dcterms:W3CDTF">2025-02-10T07:29:08Z</dcterms:modified>
  <cp:revision>0</cp:revision>
  <dc:subject/>
  <dc:title/>
</cp:coreProperties>
</file>